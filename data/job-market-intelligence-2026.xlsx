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aurs\Desktop\job-market-intelligence-excel\data\"/>
    </mc:Choice>
  </mc:AlternateContent>
  <xr:revisionPtr revIDLastSave="0" documentId="13_ncr:1_{07BA16F3-83E8-4E2F-A8B6-A9CAF59AC899}" xr6:coauthVersionLast="47" xr6:coauthVersionMax="47" xr10:uidLastSave="{00000000-0000-0000-0000-000000000000}"/>
  <bookViews>
    <workbookView xWindow="-108" yWindow="-108" windowWidth="23256" windowHeight="12456" activeTab="5" xr2:uid="{00000000-000D-0000-FFFF-FFFF00000000}"/>
  </bookViews>
  <sheets>
    <sheet name="RAW_DATA" sheetId="7" r:id="rId1"/>
    <sheet name="SKILL_MATRIX" sheetId="2" r:id="rId2"/>
    <sheet name="SALARY_INSIGHTS" sheetId="3" r:id="rId3"/>
    <sheet name="CITY_TRENDS" sheetId="4" r:id="rId4"/>
    <sheet name="INSIGHTS" sheetId="1" r:id="rId5"/>
    <sheet name="DASHBOARD" sheetId="5" r:id="rId6"/>
  </sheets>
  <externalReferences>
    <externalReference r:id="rId7"/>
  </externalReferences>
  <definedNames>
    <definedName name="_xlnm._FilterDatabase" localSheetId="0" hidden="1">RAW_DATA!$A$1:$AZ$231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G5" i="5" l="1"/>
  <c r="V32" i="5"/>
  <c r="V31" i="5"/>
  <c r="V30" i="5"/>
  <c r="V26" i="5"/>
  <c r="V25" i="5"/>
  <c r="V24" i="5"/>
  <c r="V23" i="5"/>
  <c r="V22" i="5"/>
  <c r="V21" i="5"/>
  <c r="W17" i="5"/>
  <c r="W16" i="5"/>
  <c r="W15" i="5"/>
  <c r="W14" i="5"/>
  <c r="W13" i="5"/>
  <c r="I34" i="4"/>
  <c r="I33" i="4"/>
  <c r="I32" i="4"/>
  <c r="I31" i="4"/>
  <c r="H34" i="4"/>
  <c r="H33" i="4"/>
  <c r="H32" i="4"/>
  <c r="H31" i="4"/>
  <c r="G34" i="4"/>
  <c r="G33" i="4"/>
  <c r="G32" i="4"/>
  <c r="G31" i="4"/>
  <c r="F34" i="4"/>
  <c r="F33" i="4"/>
  <c r="F32" i="4"/>
  <c r="F31" i="4"/>
  <c r="E34" i="4"/>
  <c r="E33" i="4"/>
  <c r="E32" i="4"/>
  <c r="E31" i="4"/>
  <c r="N12" i="4"/>
  <c r="N11" i="4"/>
  <c r="N10" i="4"/>
  <c r="N9" i="4"/>
  <c r="N8" i="4"/>
  <c r="N7" i="4"/>
  <c r="M11" i="4"/>
  <c r="M10" i="4"/>
  <c r="M9" i="4"/>
  <c r="M8" i="4"/>
  <c r="M7" i="4"/>
  <c r="M12" i="4"/>
  <c r="L10" i="4"/>
  <c r="L9" i="4"/>
  <c r="L8" i="4"/>
  <c r="L7" i="4"/>
  <c r="K11" i="4"/>
  <c r="K10" i="4"/>
  <c r="K9" i="4"/>
  <c r="K8" i="4"/>
  <c r="K7" i="4"/>
  <c r="L11" i="4"/>
  <c r="D34" i="4"/>
  <c r="D33" i="4"/>
  <c r="D32" i="4"/>
  <c r="D31" i="4"/>
  <c r="B34" i="4"/>
  <c r="B33" i="4"/>
  <c r="B32" i="4"/>
  <c r="B31" i="4"/>
  <c r="F25" i="4"/>
  <c r="F24" i="4"/>
  <c r="F23" i="4"/>
  <c r="F22" i="4"/>
  <c r="E25" i="4"/>
  <c r="E24" i="4"/>
  <c r="E23" i="4"/>
  <c r="E22" i="4"/>
  <c r="D25" i="4"/>
  <c r="D24" i="4"/>
  <c r="D23" i="4"/>
  <c r="D22" i="4"/>
  <c r="F21" i="4"/>
  <c r="E21" i="4"/>
  <c r="D21" i="4"/>
  <c r="F20" i="4"/>
  <c r="E20" i="4"/>
  <c r="D20" i="4"/>
  <c r="C25" i="4"/>
  <c r="C24" i="4"/>
  <c r="C23" i="4"/>
  <c r="C22" i="4"/>
  <c r="C21" i="4"/>
  <c r="C20" i="4"/>
  <c r="B25" i="4"/>
  <c r="B24" i="4"/>
  <c r="B23" i="4"/>
  <c r="B22" i="4"/>
  <c r="B21" i="4"/>
  <c r="B20" i="4"/>
  <c r="E11" i="4"/>
  <c r="E10" i="4"/>
  <c r="E9" i="4"/>
  <c r="E8" i="4"/>
  <c r="E12" i="4"/>
  <c r="E7" i="4"/>
  <c r="D12" i="4"/>
  <c r="D11" i="4"/>
  <c r="D10" i="4"/>
  <c r="D9" i="4"/>
  <c r="D8" i="4"/>
  <c r="D13" i="4"/>
  <c r="D7" i="4"/>
  <c r="B12" i="4"/>
  <c r="B11" i="4"/>
  <c r="B10" i="4"/>
  <c r="B9" i="4"/>
  <c r="B8" i="4"/>
  <c r="B13" i="4"/>
  <c r="B7" i="4"/>
  <c r="K11" i="3"/>
  <c r="K10" i="3"/>
  <c r="K9" i="3"/>
  <c r="K8" i="3"/>
  <c r="K7" i="3"/>
  <c r="J11" i="3"/>
  <c r="J10" i="3"/>
  <c r="J9" i="3"/>
  <c r="J8" i="3"/>
  <c r="J7" i="3"/>
  <c r="P25" i="2"/>
  <c r="P24" i="2"/>
  <c r="P23" i="2"/>
  <c r="P22" i="2"/>
  <c r="P21" i="2"/>
  <c r="P20" i="2"/>
  <c r="P19" i="2"/>
  <c r="P18" i="2"/>
  <c r="P17" i="2"/>
  <c r="P16" i="2"/>
  <c r="P15" i="2"/>
  <c r="P14" i="2"/>
  <c r="P13" i="2"/>
  <c r="P12" i="2"/>
  <c r="P11" i="2"/>
  <c r="P10" i="2"/>
  <c r="P9" i="2"/>
  <c r="P8" i="2"/>
  <c r="P7" i="2"/>
  <c r="P6" i="2"/>
  <c r="P5" i="2"/>
  <c r="P4" i="2"/>
  <c r="P3" i="2"/>
  <c r="P2" i="2"/>
  <c r="O25" i="2"/>
  <c r="O24" i="2"/>
  <c r="O23" i="2"/>
  <c r="O22" i="2"/>
  <c r="O21" i="2"/>
  <c r="O20" i="2"/>
  <c r="O19" i="2"/>
  <c r="O18" i="2"/>
  <c r="O17" i="2"/>
  <c r="O16" i="2"/>
  <c r="O15" i="2"/>
  <c r="O14" i="2"/>
  <c r="O13" i="2"/>
  <c r="O12" i="2"/>
  <c r="O11" i="2"/>
  <c r="O10" i="2"/>
  <c r="O9" i="2"/>
  <c r="O8" i="2"/>
  <c r="O7" i="2"/>
  <c r="O6" i="2"/>
  <c r="O5" i="2"/>
  <c r="O4" i="2"/>
  <c r="O3" i="2"/>
  <c r="O2" i="2"/>
  <c r="N25" i="2"/>
  <c r="N24" i="2"/>
  <c r="N23" i="2"/>
  <c r="N22" i="2"/>
  <c r="N21" i="2"/>
  <c r="N20" i="2"/>
  <c r="N19" i="2"/>
  <c r="N18" i="2"/>
  <c r="N17" i="2"/>
  <c r="N16" i="2"/>
  <c r="N15" i="2"/>
  <c r="N14" i="2"/>
  <c r="N13" i="2"/>
  <c r="N12" i="2"/>
  <c r="N11" i="2"/>
  <c r="N10" i="2"/>
  <c r="N9" i="2"/>
  <c r="N8" i="2"/>
  <c r="N7" i="2"/>
  <c r="N6" i="2"/>
  <c r="N5" i="2"/>
  <c r="N4" i="2"/>
  <c r="N3" i="2"/>
  <c r="N2" i="2"/>
  <c r="M25" i="2"/>
  <c r="M24" i="2"/>
  <c r="M23" i="2"/>
  <c r="M22" i="2"/>
  <c r="M21" i="2"/>
  <c r="M20" i="2"/>
  <c r="M19" i="2"/>
  <c r="M18" i="2"/>
  <c r="M17" i="2"/>
  <c r="M16" i="2"/>
  <c r="M15" i="2"/>
  <c r="M14" i="2"/>
  <c r="M13" i="2"/>
  <c r="M12" i="2"/>
  <c r="M11" i="2"/>
  <c r="M10" i="2"/>
  <c r="M9" i="2"/>
  <c r="M8" i="2"/>
  <c r="M7" i="2"/>
  <c r="M6" i="2"/>
  <c r="M5" i="2"/>
  <c r="M4" i="2"/>
  <c r="M3" i="2"/>
  <c r="M2" i="2"/>
  <c r="L25" i="2"/>
  <c r="L24" i="2"/>
  <c r="L23" i="2"/>
  <c r="L22" i="2"/>
  <c r="L21" i="2"/>
  <c r="L20" i="2"/>
  <c r="L19" i="2"/>
  <c r="L18" i="2"/>
  <c r="L17" i="2"/>
  <c r="L16" i="2"/>
  <c r="L15" i="2"/>
  <c r="L14" i="2"/>
  <c r="L13" i="2"/>
  <c r="L12" i="2"/>
  <c r="L11" i="2"/>
  <c r="L10" i="2"/>
  <c r="L9" i="2"/>
  <c r="L8" i="2"/>
  <c r="L7" i="2"/>
  <c r="L6" i="2"/>
  <c r="L5" i="2"/>
  <c r="L4" i="2"/>
  <c r="L3" i="2"/>
  <c r="L2" i="2"/>
  <c r="K25" i="2"/>
  <c r="K24" i="2"/>
  <c r="K23" i="2"/>
  <c r="K22" i="2"/>
  <c r="K21" i="2"/>
  <c r="K20" i="2"/>
  <c r="K19" i="2"/>
  <c r="K18" i="2"/>
  <c r="K17" i="2"/>
  <c r="K16" i="2"/>
  <c r="K15" i="2"/>
  <c r="K14" i="2"/>
  <c r="K13" i="2"/>
  <c r="K12" i="2"/>
  <c r="K11" i="2"/>
  <c r="K10" i="2"/>
  <c r="K9" i="2"/>
  <c r="K8" i="2"/>
  <c r="K7" i="2"/>
  <c r="K6" i="2"/>
  <c r="K5" i="2"/>
  <c r="K4" i="2"/>
  <c r="K3" i="2"/>
  <c r="K2" i="2"/>
  <c r="J25" i="2"/>
  <c r="J24" i="2"/>
  <c r="J23" i="2"/>
  <c r="J22" i="2"/>
  <c r="J21" i="2"/>
  <c r="J20" i="2"/>
  <c r="J19" i="2"/>
  <c r="J18" i="2"/>
  <c r="J17" i="2"/>
  <c r="J16" i="2"/>
  <c r="J15" i="2"/>
  <c r="J14" i="2"/>
  <c r="J13" i="2"/>
  <c r="J12" i="2"/>
  <c r="J11" i="2"/>
  <c r="J10" i="2"/>
  <c r="J9" i="2"/>
  <c r="J8" i="2"/>
  <c r="J7" i="2"/>
  <c r="J6" i="2"/>
  <c r="J5" i="2"/>
  <c r="J4" i="2"/>
  <c r="J3" i="2"/>
  <c r="J2" i="2"/>
  <c r="Q25" i="2"/>
  <c r="Q24" i="2"/>
  <c r="Q23" i="2"/>
  <c r="Q22" i="2"/>
  <c r="Q21" i="2"/>
  <c r="Q20" i="2"/>
  <c r="Q19" i="2"/>
  <c r="Q18" i="2"/>
  <c r="Q17" i="2"/>
  <c r="Q16" i="2"/>
  <c r="Q15" i="2"/>
  <c r="Q14" i="2"/>
  <c r="Q13" i="2"/>
  <c r="Q12" i="2"/>
  <c r="Q11" i="2"/>
  <c r="Q10" i="2"/>
  <c r="Q9" i="2"/>
  <c r="Q8" i="2"/>
  <c r="Q7" i="2"/>
  <c r="Q6" i="2"/>
  <c r="Q5" i="2"/>
  <c r="Q4" i="2"/>
  <c r="Q3" i="2"/>
  <c r="Q2" i="2"/>
  <c r="I25" i="2"/>
  <c r="I24" i="2"/>
  <c r="I23" i="2"/>
  <c r="I22" i="2"/>
  <c r="I21" i="2"/>
  <c r="I20" i="2"/>
  <c r="I19" i="2"/>
  <c r="I18" i="2"/>
  <c r="I17" i="2"/>
  <c r="I16" i="2"/>
  <c r="I15" i="2"/>
  <c r="I14" i="2"/>
  <c r="I13" i="2"/>
  <c r="I12" i="2"/>
  <c r="I11" i="2"/>
  <c r="I10" i="2"/>
  <c r="I9" i="2"/>
  <c r="I8" i="2"/>
  <c r="I7" i="2"/>
  <c r="I6" i="2"/>
  <c r="I5" i="2"/>
  <c r="I4" i="2"/>
  <c r="I3" i="2"/>
  <c r="I2" i="2"/>
  <c r="H25" i="2"/>
  <c r="H24" i="2"/>
  <c r="H23" i="2"/>
  <c r="H22" i="2"/>
  <c r="H21" i="2"/>
  <c r="H20" i="2"/>
  <c r="H19" i="2"/>
  <c r="H18" i="2"/>
  <c r="H17" i="2"/>
  <c r="H16" i="2"/>
  <c r="H15" i="2"/>
  <c r="H14" i="2"/>
  <c r="H13" i="2"/>
  <c r="H12" i="2"/>
  <c r="H11" i="2"/>
  <c r="H10" i="2"/>
  <c r="H9" i="2"/>
  <c r="H8" i="2"/>
  <c r="H7" i="2"/>
  <c r="H6" i="2"/>
  <c r="H5" i="2"/>
  <c r="H4" i="2"/>
  <c r="H3" i="2"/>
  <c r="H2" i="2"/>
  <c r="R25" i="2"/>
  <c r="R24" i="2"/>
  <c r="R23" i="2"/>
  <c r="R22" i="2"/>
  <c r="R21" i="2"/>
  <c r="R20" i="2"/>
  <c r="R19" i="2"/>
  <c r="R18" i="2"/>
  <c r="R17" i="2"/>
  <c r="R16" i="2"/>
  <c r="R15" i="2"/>
  <c r="R14" i="2"/>
  <c r="R13" i="2"/>
  <c r="R12" i="2"/>
  <c r="R11" i="2"/>
  <c r="R10" i="2"/>
  <c r="R9" i="2"/>
  <c r="R8" i="2"/>
  <c r="R7" i="2"/>
  <c r="R6" i="2"/>
  <c r="R5" i="2"/>
  <c r="R4" i="2"/>
  <c r="R3" i="2"/>
  <c r="R2" i="2"/>
  <c r="G25" i="2"/>
  <c r="G24" i="2"/>
  <c r="G23" i="2"/>
  <c r="G22" i="2"/>
  <c r="G21" i="2"/>
  <c r="G20" i="2"/>
  <c r="G19" i="2"/>
  <c r="G18" i="2"/>
  <c r="G17" i="2"/>
  <c r="G16" i="2"/>
  <c r="G15" i="2"/>
  <c r="G14" i="2"/>
  <c r="G13" i="2"/>
  <c r="G12" i="2"/>
  <c r="G11" i="2"/>
  <c r="G10" i="2"/>
  <c r="G9" i="2"/>
  <c r="G8" i="2"/>
  <c r="G7" i="2"/>
  <c r="G6" i="2"/>
  <c r="G5" i="2"/>
  <c r="G4" i="2"/>
  <c r="G3" i="2"/>
  <c r="G2" i="2"/>
  <c r="C3" i="2"/>
  <c r="C4" i="2"/>
  <c r="C5" i="2"/>
  <c r="C6" i="2"/>
  <c r="C7" i="2"/>
  <c r="C8" i="2"/>
  <c r="C9" i="2"/>
  <c r="C10" i="2"/>
  <c r="C11" i="2"/>
  <c r="C12" i="2"/>
  <c r="C13" i="2"/>
  <c r="C14" i="2"/>
  <c r="C15" i="2"/>
  <c r="C16" i="2"/>
  <c r="C17" i="2"/>
  <c r="C18" i="2"/>
  <c r="C19" i="2"/>
  <c r="C20" i="2"/>
  <c r="C21" i="2"/>
  <c r="C22" i="2"/>
  <c r="C23" i="2"/>
  <c r="C24" i="2"/>
  <c r="C25" i="2"/>
  <c r="C2" i="2"/>
  <c r="F25" i="2"/>
  <c r="F24" i="2"/>
  <c r="F23" i="2"/>
  <c r="F22" i="2"/>
  <c r="F21" i="2"/>
  <c r="F20" i="2"/>
  <c r="F19" i="2"/>
  <c r="F18" i="2"/>
  <c r="F17" i="2"/>
  <c r="F16" i="2"/>
  <c r="F15" i="2"/>
  <c r="F14" i="2"/>
  <c r="F13" i="2"/>
  <c r="F12" i="2"/>
  <c r="F11" i="2"/>
  <c r="F10" i="2"/>
  <c r="F9" i="2"/>
  <c r="F8" i="2"/>
  <c r="F7" i="2"/>
  <c r="F6" i="2"/>
  <c r="F5" i="2"/>
  <c r="F4" i="2"/>
  <c r="F3" i="2"/>
  <c r="F2" i="2"/>
  <c r="E2" i="2"/>
  <c r="E25" i="2"/>
  <c r="E24" i="2"/>
  <c r="E23" i="2"/>
  <c r="D2" i="2"/>
  <c r="B2" i="2"/>
  <c r="E22" i="2"/>
  <c r="E21" i="2"/>
  <c r="E20" i="2"/>
  <c r="E19" i="2"/>
  <c r="E18" i="2"/>
  <c r="E17" i="2"/>
  <c r="E16" i="2"/>
  <c r="E15" i="2"/>
  <c r="E14" i="2"/>
  <c r="E13" i="2"/>
  <c r="E12" i="2"/>
  <c r="E11" i="2"/>
  <c r="E10" i="2"/>
  <c r="E9" i="2"/>
  <c r="E8" i="2"/>
  <c r="E7" i="2"/>
  <c r="E6" i="2"/>
  <c r="E5" i="2"/>
  <c r="E4" i="2"/>
  <c r="E3" i="2"/>
  <c r="O2" i="7"/>
  <c r="P2" i="7"/>
  <c r="Q2" i="7"/>
  <c r="R2" i="7"/>
  <c r="S2" i="7"/>
  <c r="T2" i="7"/>
  <c r="U2" i="7"/>
  <c r="V2" i="7"/>
  <c r="W2" i="7"/>
  <c r="X2" i="7"/>
  <c r="Y2" i="7"/>
  <c r="Z2" i="7"/>
  <c r="AA2" i="7"/>
  <c r="AB2" i="7"/>
  <c r="AC2" i="7"/>
  <c r="AD2" i="7"/>
  <c r="AE2" i="7"/>
  <c r="AF2" i="7"/>
  <c r="AG2" i="7"/>
  <c r="AH2" i="7"/>
  <c r="AI2" i="7"/>
  <c r="AJ2" i="7"/>
  <c r="AK2" i="7"/>
  <c r="AN2" i="7"/>
  <c r="AO2" i="7"/>
  <c r="AP2" i="7"/>
  <c r="AR2" i="7"/>
  <c r="AS2" i="7"/>
  <c r="AT2" i="7"/>
  <c r="AU2" i="7"/>
  <c r="AV2" i="7"/>
  <c r="AW2" i="7"/>
  <c r="AX2" i="7"/>
  <c r="AY2" i="7"/>
  <c r="O3" i="7"/>
  <c r="P3" i="7"/>
  <c r="Q3" i="7"/>
  <c r="R3" i="7"/>
  <c r="S3" i="7"/>
  <c r="T3" i="7"/>
  <c r="U3" i="7"/>
  <c r="V3" i="7"/>
  <c r="W3" i="7"/>
  <c r="X3" i="7"/>
  <c r="Y3" i="7"/>
  <c r="Z3" i="7"/>
  <c r="AA3" i="7"/>
  <c r="AB3" i="7"/>
  <c r="AC3" i="7"/>
  <c r="AD3" i="7"/>
  <c r="AE3" i="7"/>
  <c r="AF3" i="7"/>
  <c r="AG3" i="7"/>
  <c r="AH3" i="7"/>
  <c r="AI3" i="7"/>
  <c r="AJ3" i="7"/>
  <c r="AK3" i="7"/>
  <c r="AL3" i="7"/>
  <c r="AM3" i="7"/>
  <c r="AN3" i="7"/>
  <c r="AO3" i="7"/>
  <c r="AP3" i="7"/>
  <c r="AQ3" i="7"/>
  <c r="AR3" i="7"/>
  <c r="AS3" i="7"/>
  <c r="AT3" i="7"/>
  <c r="AU3" i="7"/>
  <c r="AV3" i="7"/>
  <c r="AW3" i="7"/>
  <c r="AX3" i="7"/>
  <c r="AY3" i="7"/>
  <c r="O4" i="7"/>
  <c r="P4" i="7"/>
  <c r="Q4" i="7"/>
  <c r="R4" i="7"/>
  <c r="S4" i="7"/>
  <c r="T4" i="7"/>
  <c r="U4" i="7"/>
  <c r="V4" i="7"/>
  <c r="W4" i="7"/>
  <c r="X4" i="7"/>
  <c r="Y4" i="7"/>
  <c r="Z4" i="7"/>
  <c r="AA4" i="7"/>
  <c r="AB4" i="7"/>
  <c r="AC4" i="7"/>
  <c r="AD4" i="7"/>
  <c r="AE4" i="7"/>
  <c r="AF4" i="7"/>
  <c r="AG4" i="7"/>
  <c r="AH4" i="7"/>
  <c r="AI4" i="7"/>
  <c r="AJ4" i="7"/>
  <c r="AK4" i="7"/>
  <c r="AL4" i="7"/>
  <c r="AM4" i="7"/>
  <c r="AN4" i="7"/>
  <c r="AO4" i="7"/>
  <c r="AP4" i="7"/>
  <c r="AQ4" i="7"/>
  <c r="AR4" i="7"/>
  <c r="AS4" i="7"/>
  <c r="AT4" i="7"/>
  <c r="AU4" i="7"/>
  <c r="AV4" i="7"/>
  <c r="AW4" i="7"/>
  <c r="AX4" i="7"/>
  <c r="AY4" i="7"/>
  <c r="O5" i="7"/>
  <c r="P5" i="7"/>
  <c r="Q5" i="7"/>
  <c r="R5" i="7"/>
  <c r="S5" i="7"/>
  <c r="T5" i="7"/>
  <c r="U5" i="7"/>
  <c r="V5" i="7"/>
  <c r="W5" i="7"/>
  <c r="X5" i="7"/>
  <c r="Y5" i="7"/>
  <c r="Z5" i="7"/>
  <c r="AA5" i="7"/>
  <c r="AB5" i="7"/>
  <c r="AC5" i="7"/>
  <c r="AD5" i="7"/>
  <c r="AE5" i="7"/>
  <c r="AF5" i="7"/>
  <c r="AG5" i="7"/>
  <c r="AH5" i="7"/>
  <c r="AI5" i="7"/>
  <c r="AJ5" i="7"/>
  <c r="AK5" i="7"/>
  <c r="AL5" i="7"/>
  <c r="AM5" i="7"/>
  <c r="AN5" i="7"/>
  <c r="AO5" i="7"/>
  <c r="AP5" i="7"/>
  <c r="AQ5" i="7"/>
  <c r="AR5" i="7"/>
  <c r="AS5" i="7"/>
  <c r="AT5" i="7"/>
  <c r="AU5" i="7"/>
  <c r="AV5" i="7"/>
  <c r="AW5" i="7"/>
  <c r="AX5" i="7"/>
  <c r="AY5" i="7"/>
  <c r="O6" i="7"/>
  <c r="P6" i="7"/>
  <c r="Q6" i="7"/>
  <c r="R6" i="7"/>
  <c r="S6" i="7"/>
  <c r="T6" i="7"/>
  <c r="U6" i="7"/>
  <c r="V6" i="7"/>
  <c r="W6" i="7"/>
  <c r="X6" i="7"/>
  <c r="Y6" i="7"/>
  <c r="Z6" i="7"/>
  <c r="AA6" i="7"/>
  <c r="AB6" i="7"/>
  <c r="AC6" i="7"/>
  <c r="AD6" i="7"/>
  <c r="AE6" i="7"/>
  <c r="AF6" i="7"/>
  <c r="AG6" i="7"/>
  <c r="AH6" i="7"/>
  <c r="AI6" i="7"/>
  <c r="AJ6" i="7"/>
  <c r="AK6" i="7"/>
  <c r="AL6" i="7"/>
  <c r="AM6" i="7"/>
  <c r="AN6" i="7"/>
  <c r="AO6" i="7"/>
  <c r="AP6" i="7"/>
  <c r="AQ6" i="7"/>
  <c r="AR6" i="7"/>
  <c r="AS6" i="7"/>
  <c r="AT6" i="7"/>
  <c r="AU6" i="7"/>
  <c r="AV6" i="7"/>
  <c r="AW6" i="7"/>
  <c r="AX6" i="7"/>
  <c r="AY6" i="7"/>
  <c r="O7" i="7"/>
  <c r="P7" i="7"/>
  <c r="Q7" i="7"/>
  <c r="R7" i="7"/>
  <c r="S7" i="7"/>
  <c r="T7" i="7"/>
  <c r="U7" i="7"/>
  <c r="V7" i="7"/>
  <c r="W7" i="7"/>
  <c r="X7" i="7"/>
  <c r="Y7" i="7"/>
  <c r="Z7" i="7"/>
  <c r="AA7" i="7"/>
  <c r="AB7" i="7"/>
  <c r="AC7" i="7"/>
  <c r="AD7" i="7"/>
  <c r="AE7" i="7"/>
  <c r="AF7" i="7"/>
  <c r="AG7" i="7"/>
  <c r="AH7" i="7"/>
  <c r="AI7" i="7"/>
  <c r="AJ7" i="7"/>
  <c r="AK7" i="7"/>
  <c r="AL7" i="7"/>
  <c r="AM7" i="7"/>
  <c r="AN7" i="7"/>
  <c r="AO7" i="7"/>
  <c r="AP7" i="7"/>
  <c r="AQ7" i="7"/>
  <c r="AR7" i="7"/>
  <c r="AS7" i="7"/>
  <c r="AT7" i="7"/>
  <c r="AU7" i="7"/>
  <c r="AV7" i="7"/>
  <c r="AW7" i="7"/>
  <c r="AX7" i="7"/>
  <c r="AY7" i="7"/>
  <c r="O8" i="7"/>
  <c r="P8" i="7"/>
  <c r="Q8" i="7"/>
  <c r="R8" i="7"/>
  <c r="S8" i="7"/>
  <c r="T8" i="7"/>
  <c r="U8" i="7"/>
  <c r="V8" i="7"/>
  <c r="W8" i="7"/>
  <c r="X8" i="7"/>
  <c r="Y8" i="7"/>
  <c r="Z8" i="7"/>
  <c r="AA8" i="7"/>
  <c r="AB8" i="7"/>
  <c r="AC8" i="7"/>
  <c r="AD8" i="7"/>
  <c r="AE8" i="7"/>
  <c r="AF8" i="7"/>
  <c r="AG8" i="7"/>
  <c r="AH8" i="7"/>
  <c r="AI8" i="7"/>
  <c r="AJ8" i="7"/>
  <c r="AK8" i="7"/>
  <c r="AL8" i="7"/>
  <c r="AM8" i="7"/>
  <c r="AN8" i="7"/>
  <c r="AO8" i="7"/>
  <c r="AP8" i="7"/>
  <c r="AQ8" i="7"/>
  <c r="AR8" i="7"/>
  <c r="AS8" i="7"/>
  <c r="AT8" i="7"/>
  <c r="AU8" i="7"/>
  <c r="AV8" i="7"/>
  <c r="AW8" i="7"/>
  <c r="AX8" i="7"/>
  <c r="AY8" i="7"/>
  <c r="O9" i="7"/>
  <c r="P9" i="7"/>
  <c r="Q9" i="7"/>
  <c r="R9" i="7"/>
  <c r="S9" i="7"/>
  <c r="T9" i="7"/>
  <c r="U9" i="7"/>
  <c r="V9" i="7"/>
  <c r="W9" i="7"/>
  <c r="X9" i="7"/>
  <c r="Y9" i="7"/>
  <c r="Z9" i="7"/>
  <c r="AA9" i="7"/>
  <c r="AB9" i="7"/>
  <c r="AC9" i="7"/>
  <c r="AD9" i="7"/>
  <c r="AE9" i="7"/>
  <c r="AF9" i="7"/>
  <c r="AG9" i="7"/>
  <c r="AH9" i="7"/>
  <c r="AI9" i="7"/>
  <c r="AJ9" i="7"/>
  <c r="AK9" i="7"/>
  <c r="AL9" i="7"/>
  <c r="AM9" i="7"/>
  <c r="AN9" i="7"/>
  <c r="AO9" i="7"/>
  <c r="AP9" i="7"/>
  <c r="AQ9" i="7"/>
  <c r="AR9" i="7"/>
  <c r="AS9" i="7"/>
  <c r="AT9" i="7"/>
  <c r="AU9" i="7"/>
  <c r="AV9" i="7"/>
  <c r="AW9" i="7"/>
  <c r="AX9" i="7"/>
  <c r="AY9" i="7"/>
  <c r="O10" i="7"/>
  <c r="P10" i="7"/>
  <c r="Q10" i="7"/>
  <c r="R10" i="7"/>
  <c r="S10" i="7"/>
  <c r="T10" i="7"/>
  <c r="U10" i="7"/>
  <c r="V10" i="7"/>
  <c r="W10" i="7"/>
  <c r="X10" i="7"/>
  <c r="Y10" i="7"/>
  <c r="Z10" i="7"/>
  <c r="AA10" i="7"/>
  <c r="AB10" i="7"/>
  <c r="AC10" i="7"/>
  <c r="AD10" i="7"/>
  <c r="AE10" i="7"/>
  <c r="AF10" i="7"/>
  <c r="AG10" i="7"/>
  <c r="AH10" i="7"/>
  <c r="AI10" i="7"/>
  <c r="AJ10" i="7"/>
  <c r="AK10" i="7"/>
  <c r="AL10" i="7"/>
  <c r="AM10" i="7"/>
  <c r="AN10" i="7"/>
  <c r="AO10" i="7"/>
  <c r="AP10" i="7"/>
  <c r="AQ10" i="7"/>
  <c r="AR10" i="7"/>
  <c r="AS10" i="7"/>
  <c r="AT10" i="7"/>
  <c r="AU10" i="7"/>
  <c r="AV10" i="7"/>
  <c r="AW10" i="7"/>
  <c r="AX10" i="7"/>
  <c r="AY10" i="7"/>
  <c r="O11" i="7"/>
  <c r="P11" i="7"/>
  <c r="Q11" i="7"/>
  <c r="R11" i="7"/>
  <c r="S11" i="7"/>
  <c r="T11" i="7"/>
  <c r="U11" i="7"/>
  <c r="V11" i="7"/>
  <c r="W11" i="7"/>
  <c r="X11" i="7"/>
  <c r="Y11" i="7"/>
  <c r="Z11" i="7"/>
  <c r="AA11" i="7"/>
  <c r="AB11" i="7"/>
  <c r="AC11" i="7"/>
  <c r="AD11" i="7"/>
  <c r="AE11" i="7"/>
  <c r="AF11" i="7"/>
  <c r="AG11" i="7"/>
  <c r="AH11" i="7"/>
  <c r="AI11" i="7"/>
  <c r="AJ11" i="7"/>
  <c r="AK11" i="7"/>
  <c r="AL11" i="7"/>
  <c r="AM11" i="7"/>
  <c r="AN11" i="7"/>
  <c r="AO11" i="7"/>
  <c r="AP11" i="7"/>
  <c r="AQ11" i="7"/>
  <c r="AR11" i="7"/>
  <c r="AS11" i="7"/>
  <c r="AT11" i="7"/>
  <c r="AU11" i="7"/>
  <c r="AV11" i="7"/>
  <c r="AW11" i="7"/>
  <c r="AX11" i="7"/>
  <c r="AY11" i="7"/>
  <c r="O12" i="7"/>
  <c r="P12" i="7"/>
  <c r="Q12" i="7"/>
  <c r="R12" i="7"/>
  <c r="S12" i="7"/>
  <c r="T12" i="7"/>
  <c r="U12" i="7"/>
  <c r="V12" i="7"/>
  <c r="W12" i="7"/>
  <c r="X12" i="7"/>
  <c r="Y12" i="7"/>
  <c r="Z12" i="7"/>
  <c r="AA12" i="7"/>
  <c r="AB12" i="7"/>
  <c r="AC12" i="7"/>
  <c r="AD12" i="7"/>
  <c r="AE12" i="7"/>
  <c r="AF12" i="7"/>
  <c r="AG12" i="7"/>
  <c r="AH12" i="7"/>
  <c r="AI12" i="7"/>
  <c r="AJ12" i="7"/>
  <c r="AK12" i="7"/>
  <c r="AL12" i="7"/>
  <c r="AM12" i="7"/>
  <c r="AN12" i="7"/>
  <c r="AO12" i="7"/>
  <c r="AP12" i="7"/>
  <c r="AQ12" i="7"/>
  <c r="AR12" i="7"/>
  <c r="AS12" i="7"/>
  <c r="AT12" i="7"/>
  <c r="AU12" i="7"/>
  <c r="AV12" i="7"/>
  <c r="AW12" i="7"/>
  <c r="AX12" i="7"/>
  <c r="AY12" i="7"/>
  <c r="O13" i="7"/>
  <c r="P13" i="7"/>
  <c r="Q13" i="7"/>
  <c r="R13" i="7"/>
  <c r="S13" i="7"/>
  <c r="T13" i="7"/>
  <c r="U13" i="7"/>
  <c r="V13" i="7"/>
  <c r="W13" i="7"/>
  <c r="X13" i="7"/>
  <c r="Y13" i="7"/>
  <c r="Z13" i="7"/>
  <c r="AA13" i="7"/>
  <c r="AB13" i="7"/>
  <c r="AC13" i="7"/>
  <c r="AD13" i="7"/>
  <c r="AE13" i="7"/>
  <c r="AF13" i="7"/>
  <c r="AG13" i="7"/>
  <c r="AH13" i="7"/>
  <c r="AI13" i="7"/>
  <c r="AJ13" i="7"/>
  <c r="AK13" i="7"/>
  <c r="AL13" i="7"/>
  <c r="AM13" i="7"/>
  <c r="AN13" i="7"/>
  <c r="AO13" i="7"/>
  <c r="AP13" i="7"/>
  <c r="AQ13" i="7"/>
  <c r="AR13" i="7"/>
  <c r="AS13" i="7"/>
  <c r="AT13" i="7"/>
  <c r="AU13" i="7"/>
  <c r="AV13" i="7"/>
  <c r="AW13" i="7"/>
  <c r="AX13" i="7"/>
  <c r="AY13" i="7"/>
  <c r="O14" i="7"/>
  <c r="P14" i="7"/>
  <c r="Q14" i="7"/>
  <c r="R14" i="7"/>
  <c r="S14" i="7"/>
  <c r="T14" i="7"/>
  <c r="U14" i="7"/>
  <c r="V14" i="7"/>
  <c r="W14" i="7"/>
  <c r="X14" i="7"/>
  <c r="Y14" i="7"/>
  <c r="Z14" i="7"/>
  <c r="AA14" i="7"/>
  <c r="AB14" i="7"/>
  <c r="AC14" i="7"/>
  <c r="AD14" i="7"/>
  <c r="AE14" i="7"/>
  <c r="AF14" i="7"/>
  <c r="AG14" i="7"/>
  <c r="AH14" i="7"/>
  <c r="AI14" i="7"/>
  <c r="AJ14" i="7"/>
  <c r="AK14" i="7"/>
  <c r="AL14" i="7"/>
  <c r="AM14" i="7"/>
  <c r="AN14" i="7"/>
  <c r="AO14" i="7"/>
  <c r="AP14" i="7"/>
  <c r="AQ14" i="7"/>
  <c r="AR14" i="7"/>
  <c r="AS14" i="7"/>
  <c r="AT14" i="7"/>
  <c r="AU14" i="7"/>
  <c r="AV14" i="7"/>
  <c r="AW14" i="7"/>
  <c r="AX14" i="7"/>
  <c r="AY14" i="7"/>
  <c r="O15" i="7"/>
  <c r="P15" i="7"/>
  <c r="Q15" i="7"/>
  <c r="R15" i="7"/>
  <c r="S15" i="7"/>
  <c r="T15" i="7"/>
  <c r="U15" i="7"/>
  <c r="V15" i="7"/>
  <c r="W15" i="7"/>
  <c r="X15" i="7"/>
  <c r="Y15" i="7"/>
  <c r="Z15" i="7"/>
  <c r="AA15" i="7"/>
  <c r="AB15" i="7"/>
  <c r="AC15" i="7"/>
  <c r="AD15" i="7"/>
  <c r="AE15" i="7"/>
  <c r="AF15" i="7"/>
  <c r="AG15" i="7"/>
  <c r="AH15" i="7"/>
  <c r="AI15" i="7"/>
  <c r="AJ15" i="7"/>
  <c r="AK15" i="7"/>
  <c r="AL15" i="7"/>
  <c r="AM15" i="7"/>
  <c r="AN15" i="7"/>
  <c r="AO15" i="7"/>
  <c r="AP15" i="7"/>
  <c r="AQ15" i="7"/>
  <c r="AR15" i="7"/>
  <c r="AS15" i="7"/>
  <c r="AT15" i="7"/>
  <c r="AU15" i="7"/>
  <c r="AV15" i="7"/>
  <c r="AW15" i="7"/>
  <c r="AX15" i="7"/>
  <c r="AY15" i="7"/>
  <c r="O16" i="7"/>
  <c r="P16" i="7"/>
  <c r="Q16" i="7"/>
  <c r="R16" i="7"/>
  <c r="S16" i="7"/>
  <c r="T16" i="7"/>
  <c r="U16" i="7"/>
  <c r="V16" i="7"/>
  <c r="W16" i="7"/>
  <c r="X16" i="7"/>
  <c r="Y16" i="7"/>
  <c r="Z16" i="7"/>
  <c r="AA16" i="7"/>
  <c r="AB16" i="7"/>
  <c r="AC16" i="7"/>
  <c r="AD16" i="7"/>
  <c r="AE16" i="7"/>
  <c r="AF16" i="7"/>
  <c r="AG16" i="7"/>
  <c r="AH16" i="7"/>
  <c r="AI16" i="7"/>
  <c r="AJ16" i="7"/>
  <c r="AK16" i="7"/>
  <c r="AL16" i="7"/>
  <c r="AM16" i="7"/>
  <c r="AN16" i="7"/>
  <c r="AO16" i="7"/>
  <c r="AP16" i="7"/>
  <c r="AQ16" i="7"/>
  <c r="AR16" i="7"/>
  <c r="AS16" i="7"/>
  <c r="AT16" i="7"/>
  <c r="AU16" i="7"/>
  <c r="AV16" i="7"/>
  <c r="AW16" i="7"/>
  <c r="AX16" i="7"/>
  <c r="AY16" i="7"/>
  <c r="O17" i="7"/>
  <c r="P17" i="7"/>
  <c r="Q17" i="7"/>
  <c r="R17" i="7"/>
  <c r="S17" i="7"/>
  <c r="T17" i="7"/>
  <c r="U17" i="7"/>
  <c r="V17" i="7"/>
  <c r="W17" i="7"/>
  <c r="X17" i="7"/>
  <c r="Y17" i="7"/>
  <c r="Z17" i="7"/>
  <c r="AA17" i="7"/>
  <c r="AB17" i="7"/>
  <c r="AC17" i="7"/>
  <c r="AD17" i="7"/>
  <c r="AE17" i="7"/>
  <c r="AF17" i="7"/>
  <c r="AG17" i="7"/>
  <c r="AH17" i="7"/>
  <c r="AI17" i="7"/>
  <c r="AJ17" i="7"/>
  <c r="AK17" i="7"/>
  <c r="AL17" i="7"/>
  <c r="AM17" i="7"/>
  <c r="AN17" i="7"/>
  <c r="AO17" i="7"/>
  <c r="AP17" i="7"/>
  <c r="AQ17" i="7"/>
  <c r="AR17" i="7"/>
  <c r="AS17" i="7"/>
  <c r="AT17" i="7"/>
  <c r="AU17" i="7"/>
  <c r="AV17" i="7"/>
  <c r="AW17" i="7"/>
  <c r="AX17" i="7"/>
  <c r="AY17" i="7"/>
  <c r="O18" i="7"/>
  <c r="P18" i="7"/>
  <c r="Q18" i="7"/>
  <c r="R18" i="7"/>
  <c r="S18" i="7"/>
  <c r="T18" i="7"/>
  <c r="U18" i="7"/>
  <c r="V18" i="7"/>
  <c r="W18" i="7"/>
  <c r="X18" i="7"/>
  <c r="Y18" i="7"/>
  <c r="Z18" i="7"/>
  <c r="AA18" i="7"/>
  <c r="AB18" i="7"/>
  <c r="AC18" i="7"/>
  <c r="AD18" i="7"/>
  <c r="AE18" i="7"/>
  <c r="AF18" i="7"/>
  <c r="AG18" i="7"/>
  <c r="AH18" i="7"/>
  <c r="AI18" i="7"/>
  <c r="AJ18" i="7"/>
  <c r="AK18" i="7"/>
  <c r="AL18" i="7"/>
  <c r="AM18" i="7"/>
  <c r="AN18" i="7"/>
  <c r="AO18" i="7"/>
  <c r="AP18" i="7"/>
  <c r="AQ18" i="7"/>
  <c r="AR18" i="7"/>
  <c r="AS18" i="7"/>
  <c r="AT18" i="7"/>
  <c r="AU18" i="7"/>
  <c r="AV18" i="7"/>
  <c r="AW18" i="7"/>
  <c r="AX18" i="7"/>
  <c r="AY18" i="7"/>
  <c r="O19" i="7"/>
  <c r="P19" i="7"/>
  <c r="Q19" i="7"/>
  <c r="R19" i="7"/>
  <c r="S19" i="7"/>
  <c r="T19" i="7"/>
  <c r="U19" i="7"/>
  <c r="V19" i="7"/>
  <c r="W19" i="7"/>
  <c r="X19" i="7"/>
  <c r="Y19" i="7"/>
  <c r="Z19" i="7"/>
  <c r="AA19" i="7"/>
  <c r="AB19" i="7"/>
  <c r="AC19" i="7"/>
  <c r="AD19" i="7"/>
  <c r="AE19" i="7"/>
  <c r="AF19" i="7"/>
  <c r="AG19" i="7"/>
  <c r="AH19" i="7"/>
  <c r="AI19" i="7"/>
  <c r="AJ19" i="7"/>
  <c r="AK19" i="7"/>
  <c r="AL19" i="7"/>
  <c r="AM19" i="7"/>
  <c r="AN19" i="7"/>
  <c r="AO19" i="7"/>
  <c r="AP19" i="7"/>
  <c r="AQ19" i="7"/>
  <c r="AR19" i="7"/>
  <c r="AS19" i="7"/>
  <c r="AT19" i="7"/>
  <c r="AU19" i="7"/>
  <c r="AV19" i="7"/>
  <c r="AW19" i="7"/>
  <c r="AX19" i="7"/>
  <c r="AY19" i="7"/>
  <c r="O20" i="7"/>
  <c r="P20" i="7"/>
  <c r="Q20" i="7"/>
  <c r="R20" i="7"/>
  <c r="S20" i="7"/>
  <c r="T20" i="7"/>
  <c r="U20" i="7"/>
  <c r="V20" i="7"/>
  <c r="W20" i="7"/>
  <c r="X20" i="7"/>
  <c r="Y20" i="7"/>
  <c r="Z20" i="7"/>
  <c r="AA20" i="7"/>
  <c r="AB20" i="7"/>
  <c r="AC20" i="7"/>
  <c r="AD20" i="7"/>
  <c r="AE20" i="7"/>
  <c r="AF20" i="7"/>
  <c r="AG20" i="7"/>
  <c r="AH20" i="7"/>
  <c r="AI20" i="7"/>
  <c r="AJ20" i="7"/>
  <c r="AK20" i="7"/>
  <c r="AL20" i="7"/>
  <c r="AM20" i="7"/>
  <c r="AN20" i="7"/>
  <c r="AO20" i="7"/>
  <c r="AP20" i="7"/>
  <c r="AQ20" i="7"/>
  <c r="AR20" i="7"/>
  <c r="AS20" i="7"/>
  <c r="AT20" i="7"/>
  <c r="AU20" i="7"/>
  <c r="AV20" i="7"/>
  <c r="AW20" i="7"/>
  <c r="AX20" i="7"/>
  <c r="AY20" i="7"/>
  <c r="O21" i="7"/>
  <c r="P21" i="7"/>
  <c r="Q21" i="7"/>
  <c r="R21" i="7"/>
  <c r="S21" i="7"/>
  <c r="T21" i="7"/>
  <c r="U21" i="7"/>
  <c r="V21" i="7"/>
  <c r="W21" i="7"/>
  <c r="X21" i="7"/>
  <c r="Y21" i="7"/>
  <c r="Z21" i="7"/>
  <c r="AA21" i="7"/>
  <c r="AB21" i="7"/>
  <c r="AC21" i="7"/>
  <c r="AD21" i="7"/>
  <c r="AE21" i="7"/>
  <c r="AF21" i="7"/>
  <c r="AG21" i="7"/>
  <c r="AH21" i="7"/>
  <c r="AI21" i="7"/>
  <c r="AJ21" i="7"/>
  <c r="AK21" i="7"/>
  <c r="AL21" i="7"/>
  <c r="AM21" i="7"/>
  <c r="AN21" i="7"/>
  <c r="AO21" i="7"/>
  <c r="AP21" i="7"/>
  <c r="AQ21" i="7"/>
  <c r="AR21" i="7"/>
  <c r="AS21" i="7"/>
  <c r="AT21" i="7"/>
  <c r="AU21" i="7"/>
  <c r="AV21" i="7"/>
  <c r="AW21" i="7"/>
  <c r="AX21" i="7"/>
  <c r="AY21" i="7"/>
  <c r="O22" i="7"/>
  <c r="P22" i="7"/>
  <c r="Q22" i="7"/>
  <c r="R22" i="7"/>
  <c r="S22" i="7"/>
  <c r="T22" i="7"/>
  <c r="U22" i="7"/>
  <c r="V22" i="7"/>
  <c r="W22" i="7"/>
  <c r="X22" i="7"/>
  <c r="Y22" i="7"/>
  <c r="Z22" i="7"/>
  <c r="AA22" i="7"/>
  <c r="AB22" i="7"/>
  <c r="AC22" i="7"/>
  <c r="AD22" i="7"/>
  <c r="AE22" i="7"/>
  <c r="AF22" i="7"/>
  <c r="AG22" i="7"/>
  <c r="AH22" i="7"/>
  <c r="AI22" i="7"/>
  <c r="AJ22" i="7"/>
  <c r="AK22" i="7"/>
  <c r="AL22" i="7"/>
  <c r="AM22" i="7"/>
  <c r="AN22" i="7"/>
  <c r="AO22" i="7"/>
  <c r="AP22" i="7"/>
  <c r="AQ22" i="7"/>
  <c r="AR22" i="7"/>
  <c r="AS22" i="7"/>
  <c r="AT22" i="7"/>
  <c r="AU22" i="7"/>
  <c r="AV22" i="7"/>
  <c r="AW22" i="7"/>
  <c r="AX22" i="7"/>
  <c r="AY22" i="7"/>
  <c r="O23" i="7"/>
  <c r="P23" i="7"/>
  <c r="Q23" i="7"/>
  <c r="R23" i="7"/>
  <c r="S23" i="7"/>
  <c r="T23" i="7"/>
  <c r="U23" i="7"/>
  <c r="V23" i="7"/>
  <c r="W23" i="7"/>
  <c r="X23" i="7"/>
  <c r="Y23" i="7"/>
  <c r="Z23" i="7"/>
  <c r="AA23" i="7"/>
  <c r="AB23" i="7"/>
  <c r="AC23" i="7"/>
  <c r="AD23" i="7"/>
  <c r="AE23" i="7"/>
  <c r="AF23" i="7"/>
  <c r="AG23" i="7"/>
  <c r="AH23" i="7"/>
  <c r="AI23" i="7"/>
  <c r="AJ23" i="7"/>
  <c r="AK23" i="7"/>
  <c r="AL23" i="7"/>
  <c r="AM23" i="7"/>
  <c r="AN23" i="7"/>
  <c r="AO23" i="7"/>
  <c r="AP23" i="7"/>
  <c r="AQ23" i="7"/>
  <c r="AR23" i="7"/>
  <c r="AS23" i="7"/>
  <c r="AT23" i="7"/>
  <c r="AU23" i="7"/>
  <c r="AV23" i="7"/>
  <c r="AW23" i="7"/>
  <c r="AX23" i="7"/>
  <c r="AY23" i="7"/>
  <c r="O24" i="7"/>
  <c r="P24" i="7"/>
  <c r="Q24" i="7"/>
  <c r="R24" i="7"/>
  <c r="S24" i="7"/>
  <c r="T24" i="7"/>
  <c r="U24" i="7"/>
  <c r="V24" i="7"/>
  <c r="W24" i="7"/>
  <c r="X24" i="7"/>
  <c r="Y24" i="7"/>
  <c r="Z24" i="7"/>
  <c r="AA24" i="7"/>
  <c r="AB24" i="7"/>
  <c r="AC24" i="7"/>
  <c r="AD24" i="7"/>
  <c r="AE24" i="7"/>
  <c r="AF24" i="7"/>
  <c r="AG24" i="7"/>
  <c r="AH24" i="7"/>
  <c r="AI24" i="7"/>
  <c r="AJ24" i="7"/>
  <c r="AK24" i="7"/>
  <c r="AL24" i="7"/>
  <c r="AM24" i="7"/>
  <c r="AN24" i="7"/>
  <c r="AO24" i="7"/>
  <c r="AP24" i="7"/>
  <c r="AQ24" i="7"/>
  <c r="AR24" i="7"/>
  <c r="AS24" i="7"/>
  <c r="AT24" i="7"/>
  <c r="AU24" i="7"/>
  <c r="AV24" i="7"/>
  <c r="AW24" i="7"/>
  <c r="AX24" i="7"/>
  <c r="AY24" i="7"/>
  <c r="O25" i="7"/>
  <c r="P25" i="7"/>
  <c r="Q25" i="7"/>
  <c r="R25" i="7"/>
  <c r="S25" i="7"/>
  <c r="T25" i="7"/>
  <c r="U25" i="7"/>
  <c r="V25" i="7"/>
  <c r="W25" i="7"/>
  <c r="X25" i="7"/>
  <c r="Y25" i="7"/>
  <c r="Z25" i="7"/>
  <c r="AA25" i="7"/>
  <c r="AB25" i="7"/>
  <c r="AC25" i="7"/>
  <c r="AD25" i="7"/>
  <c r="AE25" i="7"/>
  <c r="AF25" i="7"/>
  <c r="AG25" i="7"/>
  <c r="AH25" i="7"/>
  <c r="AI25" i="7"/>
  <c r="AJ25" i="7"/>
  <c r="AK25" i="7"/>
  <c r="AL25" i="7"/>
  <c r="AM25" i="7"/>
  <c r="AN25" i="7"/>
  <c r="AO25" i="7"/>
  <c r="AP25" i="7"/>
  <c r="AQ25" i="7"/>
  <c r="AR25" i="7"/>
  <c r="AS25" i="7"/>
  <c r="AT25" i="7"/>
  <c r="AU25" i="7"/>
  <c r="AV25" i="7"/>
  <c r="AW25" i="7"/>
  <c r="AX25" i="7"/>
  <c r="AY25" i="7"/>
  <c r="O26" i="7"/>
  <c r="P26" i="7"/>
  <c r="Q26" i="7"/>
  <c r="R26" i="7"/>
  <c r="S26" i="7"/>
  <c r="T26" i="7"/>
  <c r="U26" i="7"/>
  <c r="V26" i="7"/>
  <c r="W26" i="7"/>
  <c r="X26" i="7"/>
  <c r="Y26" i="7"/>
  <c r="Z26" i="7"/>
  <c r="AA26" i="7"/>
  <c r="AB26" i="7"/>
  <c r="AC26" i="7"/>
  <c r="AD26" i="7"/>
  <c r="AE26" i="7"/>
  <c r="AF26" i="7"/>
  <c r="AG26" i="7"/>
  <c r="AH26" i="7"/>
  <c r="AI26" i="7"/>
  <c r="AJ26" i="7"/>
  <c r="AK26" i="7"/>
  <c r="AL26" i="7"/>
  <c r="AM26" i="7"/>
  <c r="AN26" i="7"/>
  <c r="AO26" i="7"/>
  <c r="AP26" i="7"/>
  <c r="AQ26" i="7"/>
  <c r="AR26" i="7"/>
  <c r="AS26" i="7"/>
  <c r="AT26" i="7"/>
  <c r="AU26" i="7"/>
  <c r="AV26" i="7"/>
  <c r="AW26" i="7"/>
  <c r="AX26" i="7"/>
  <c r="AY26" i="7"/>
  <c r="O27" i="7"/>
  <c r="P27" i="7"/>
  <c r="Q27" i="7"/>
  <c r="R27" i="7"/>
  <c r="S27" i="7"/>
  <c r="T27" i="7"/>
  <c r="U27" i="7"/>
  <c r="V27" i="7"/>
  <c r="W27" i="7"/>
  <c r="X27" i="7"/>
  <c r="Y27" i="7"/>
  <c r="Z27" i="7"/>
  <c r="AA27" i="7"/>
  <c r="AB27" i="7"/>
  <c r="AC27" i="7"/>
  <c r="AD27" i="7"/>
  <c r="AE27" i="7"/>
  <c r="AF27" i="7"/>
  <c r="AG27" i="7"/>
  <c r="AH27" i="7"/>
  <c r="AI27" i="7"/>
  <c r="AJ27" i="7"/>
  <c r="AK27" i="7"/>
  <c r="AL27" i="7"/>
  <c r="AM27" i="7"/>
  <c r="AN27" i="7"/>
  <c r="AO27" i="7"/>
  <c r="AP27" i="7"/>
  <c r="AQ27" i="7"/>
  <c r="AR27" i="7"/>
  <c r="AS27" i="7"/>
  <c r="AT27" i="7"/>
  <c r="AU27" i="7"/>
  <c r="AV27" i="7"/>
  <c r="AW27" i="7"/>
  <c r="AX27" i="7"/>
  <c r="AY27" i="7"/>
  <c r="O28" i="7"/>
  <c r="P28" i="7"/>
  <c r="Q28" i="7"/>
  <c r="R28" i="7"/>
  <c r="S28" i="7"/>
  <c r="T28" i="7"/>
  <c r="U28" i="7"/>
  <c r="V28" i="7"/>
  <c r="W28" i="7"/>
  <c r="X28" i="7"/>
  <c r="Y28" i="7"/>
  <c r="Z28" i="7"/>
  <c r="AA28" i="7"/>
  <c r="AB28" i="7"/>
  <c r="AC28" i="7"/>
  <c r="AD28" i="7"/>
  <c r="AE28" i="7"/>
  <c r="AF28" i="7"/>
  <c r="AG28" i="7"/>
  <c r="AH28" i="7"/>
  <c r="AI28" i="7"/>
  <c r="AJ28" i="7"/>
  <c r="AK28" i="7"/>
  <c r="AL28" i="7"/>
  <c r="AM28" i="7"/>
  <c r="AN28" i="7"/>
  <c r="AO28" i="7"/>
  <c r="AP28" i="7"/>
  <c r="AQ28" i="7"/>
  <c r="AR28" i="7"/>
  <c r="AS28" i="7"/>
  <c r="AT28" i="7"/>
  <c r="AU28" i="7"/>
  <c r="AV28" i="7"/>
  <c r="AW28" i="7"/>
  <c r="AX28" i="7"/>
  <c r="AY28" i="7"/>
  <c r="O29" i="7"/>
  <c r="P29" i="7"/>
  <c r="Q29" i="7"/>
  <c r="R29" i="7"/>
  <c r="S29" i="7"/>
  <c r="T29" i="7"/>
  <c r="U29" i="7"/>
  <c r="V29" i="7"/>
  <c r="W29" i="7"/>
  <c r="X29" i="7"/>
  <c r="Y29" i="7"/>
  <c r="Z29" i="7"/>
  <c r="AA29" i="7"/>
  <c r="AB29" i="7"/>
  <c r="AC29" i="7"/>
  <c r="AD29" i="7"/>
  <c r="AE29" i="7"/>
  <c r="AF29" i="7"/>
  <c r="AG29" i="7"/>
  <c r="AH29" i="7"/>
  <c r="AI29" i="7"/>
  <c r="AJ29" i="7"/>
  <c r="AK29" i="7"/>
  <c r="AL29" i="7"/>
  <c r="AM29" i="7"/>
  <c r="AN29" i="7"/>
  <c r="AO29" i="7"/>
  <c r="AP29" i="7"/>
  <c r="AQ29" i="7"/>
  <c r="AR29" i="7"/>
  <c r="AS29" i="7"/>
  <c r="AT29" i="7"/>
  <c r="AU29" i="7"/>
  <c r="AV29" i="7"/>
  <c r="AW29" i="7"/>
  <c r="AX29" i="7"/>
  <c r="AY29" i="7"/>
  <c r="O30" i="7"/>
  <c r="P30" i="7"/>
  <c r="Q30" i="7"/>
  <c r="R30" i="7"/>
  <c r="S30" i="7"/>
  <c r="T30" i="7"/>
  <c r="U30" i="7"/>
  <c r="V30" i="7"/>
  <c r="W30" i="7"/>
  <c r="X30" i="7"/>
  <c r="Y30" i="7"/>
  <c r="Z30" i="7"/>
  <c r="AA30" i="7"/>
  <c r="AB30" i="7"/>
  <c r="AC30" i="7"/>
  <c r="AD30" i="7"/>
  <c r="AE30" i="7"/>
  <c r="AF30" i="7"/>
  <c r="AG30" i="7"/>
  <c r="AH30" i="7"/>
  <c r="AI30" i="7"/>
  <c r="AJ30" i="7"/>
  <c r="AK30" i="7"/>
  <c r="AL30" i="7"/>
  <c r="AM30" i="7"/>
  <c r="AN30" i="7"/>
  <c r="AO30" i="7"/>
  <c r="AP30" i="7"/>
  <c r="AQ30" i="7"/>
  <c r="AR30" i="7"/>
  <c r="AS30" i="7"/>
  <c r="AT30" i="7"/>
  <c r="AU30" i="7"/>
  <c r="AV30" i="7"/>
  <c r="AW30" i="7"/>
  <c r="AX30" i="7"/>
  <c r="AY30" i="7"/>
  <c r="O31" i="7"/>
  <c r="P31" i="7"/>
  <c r="Q31" i="7"/>
  <c r="R31" i="7"/>
  <c r="S31" i="7"/>
  <c r="T31" i="7"/>
  <c r="U31" i="7"/>
  <c r="V31" i="7"/>
  <c r="W31" i="7"/>
  <c r="X31" i="7"/>
  <c r="Y31" i="7"/>
  <c r="Z31" i="7"/>
  <c r="AA31" i="7"/>
  <c r="AB31" i="7"/>
  <c r="AC31" i="7"/>
  <c r="AD31" i="7"/>
  <c r="AE31" i="7"/>
  <c r="AF31" i="7"/>
  <c r="AG31" i="7"/>
  <c r="AH31" i="7"/>
  <c r="AI31" i="7"/>
  <c r="AJ31" i="7"/>
  <c r="AK31" i="7"/>
  <c r="AL31" i="7"/>
  <c r="AM31" i="7"/>
  <c r="AN31" i="7"/>
  <c r="AO31" i="7"/>
  <c r="AP31" i="7"/>
  <c r="AQ31" i="7"/>
  <c r="AR31" i="7"/>
  <c r="AS31" i="7"/>
  <c r="AT31" i="7"/>
  <c r="AU31" i="7"/>
  <c r="AV31" i="7"/>
  <c r="AW31" i="7"/>
  <c r="AX31" i="7"/>
  <c r="AY31" i="7"/>
  <c r="O32" i="7"/>
  <c r="P32" i="7"/>
  <c r="Q32" i="7"/>
  <c r="R32" i="7"/>
  <c r="S32" i="7"/>
  <c r="T32" i="7"/>
  <c r="U32" i="7"/>
  <c r="V32" i="7"/>
  <c r="W32" i="7"/>
  <c r="X32" i="7"/>
  <c r="Y32" i="7"/>
  <c r="Z32" i="7"/>
  <c r="AA32" i="7"/>
  <c r="AB32" i="7"/>
  <c r="AC32" i="7"/>
  <c r="AD32" i="7"/>
  <c r="AE32" i="7"/>
  <c r="AF32" i="7"/>
  <c r="AG32" i="7"/>
  <c r="AH32" i="7"/>
  <c r="AI32" i="7"/>
  <c r="AJ32" i="7"/>
  <c r="AK32" i="7"/>
  <c r="AL32" i="7"/>
  <c r="AM32" i="7"/>
  <c r="AN32" i="7"/>
  <c r="AO32" i="7"/>
  <c r="AP32" i="7"/>
  <c r="AQ32" i="7"/>
  <c r="AR32" i="7"/>
  <c r="AS32" i="7"/>
  <c r="AT32" i="7"/>
  <c r="AU32" i="7"/>
  <c r="AV32" i="7"/>
  <c r="AW32" i="7"/>
  <c r="AX32" i="7"/>
  <c r="AY32" i="7"/>
  <c r="O33" i="7"/>
  <c r="P33" i="7"/>
  <c r="Q33" i="7"/>
  <c r="R33" i="7"/>
  <c r="S33" i="7"/>
  <c r="T33" i="7"/>
  <c r="U33" i="7"/>
  <c r="V33" i="7"/>
  <c r="W33" i="7"/>
  <c r="X33" i="7"/>
  <c r="Y33" i="7"/>
  <c r="Z33" i="7"/>
  <c r="AA33" i="7"/>
  <c r="AB33" i="7"/>
  <c r="AC33" i="7"/>
  <c r="AD33" i="7"/>
  <c r="AE33" i="7"/>
  <c r="AF33" i="7"/>
  <c r="AG33" i="7"/>
  <c r="AH33" i="7"/>
  <c r="AI33" i="7"/>
  <c r="AJ33" i="7"/>
  <c r="AK33" i="7"/>
  <c r="AL33" i="7"/>
  <c r="AM33" i="7"/>
  <c r="AN33" i="7"/>
  <c r="AO33" i="7"/>
  <c r="AP33" i="7"/>
  <c r="AQ33" i="7"/>
  <c r="AR33" i="7"/>
  <c r="AS33" i="7"/>
  <c r="AT33" i="7"/>
  <c r="AU33" i="7"/>
  <c r="AV33" i="7"/>
  <c r="AW33" i="7"/>
  <c r="AX33" i="7"/>
  <c r="AY33" i="7"/>
  <c r="O34" i="7"/>
  <c r="P34" i="7"/>
  <c r="Q34" i="7"/>
  <c r="R34" i="7"/>
  <c r="S34" i="7"/>
  <c r="T34" i="7"/>
  <c r="U34" i="7"/>
  <c r="V34" i="7"/>
  <c r="W34" i="7"/>
  <c r="X34" i="7"/>
  <c r="Y34" i="7"/>
  <c r="Z34" i="7"/>
  <c r="AA34" i="7"/>
  <c r="AB34" i="7"/>
  <c r="AC34" i="7"/>
  <c r="AD34" i="7"/>
  <c r="AE34" i="7"/>
  <c r="AF34" i="7"/>
  <c r="AG34" i="7"/>
  <c r="AH34" i="7"/>
  <c r="AI34" i="7"/>
  <c r="AJ34" i="7"/>
  <c r="AK34" i="7"/>
  <c r="AL34" i="7"/>
  <c r="AM34" i="7"/>
  <c r="AN34" i="7"/>
  <c r="AO34" i="7"/>
  <c r="AP34" i="7"/>
  <c r="AQ34" i="7"/>
  <c r="AR34" i="7"/>
  <c r="AS34" i="7"/>
  <c r="AT34" i="7"/>
  <c r="AU34" i="7"/>
  <c r="AV34" i="7"/>
  <c r="AW34" i="7"/>
  <c r="AX34" i="7"/>
  <c r="AY34" i="7"/>
  <c r="O35" i="7"/>
  <c r="P35" i="7"/>
  <c r="Q35" i="7"/>
  <c r="R35" i="7"/>
  <c r="S35" i="7"/>
  <c r="T35" i="7"/>
  <c r="U35" i="7"/>
  <c r="V35" i="7"/>
  <c r="W35" i="7"/>
  <c r="X35" i="7"/>
  <c r="Y35" i="7"/>
  <c r="Z35" i="7"/>
  <c r="AA35" i="7"/>
  <c r="AB35" i="7"/>
  <c r="AC35" i="7"/>
  <c r="AD35" i="7"/>
  <c r="AE35" i="7"/>
  <c r="AF35" i="7"/>
  <c r="AG35" i="7"/>
  <c r="AH35" i="7"/>
  <c r="AI35" i="7"/>
  <c r="AJ35" i="7"/>
  <c r="AK35" i="7"/>
  <c r="AL35" i="7"/>
  <c r="AM35" i="7"/>
  <c r="AN35" i="7"/>
  <c r="AO35" i="7"/>
  <c r="AP35" i="7"/>
  <c r="AQ35" i="7"/>
  <c r="AR35" i="7"/>
  <c r="AS35" i="7"/>
  <c r="AT35" i="7"/>
  <c r="AU35" i="7"/>
  <c r="AV35" i="7"/>
  <c r="AW35" i="7"/>
  <c r="AX35" i="7"/>
  <c r="AY35" i="7"/>
  <c r="O36" i="7"/>
  <c r="P36" i="7"/>
  <c r="Q36" i="7"/>
  <c r="R36" i="7"/>
  <c r="S36" i="7"/>
  <c r="T36" i="7"/>
  <c r="U36" i="7"/>
  <c r="V36" i="7"/>
  <c r="W36" i="7"/>
  <c r="X36" i="7"/>
  <c r="Y36" i="7"/>
  <c r="Z36" i="7"/>
  <c r="AA36" i="7"/>
  <c r="AB36" i="7"/>
  <c r="AC36" i="7"/>
  <c r="AD36" i="7"/>
  <c r="AE36" i="7"/>
  <c r="AF36" i="7"/>
  <c r="AG36" i="7"/>
  <c r="AH36" i="7"/>
  <c r="AI36" i="7"/>
  <c r="AJ36" i="7"/>
  <c r="AK36" i="7"/>
  <c r="AL36" i="7"/>
  <c r="AM36" i="7"/>
  <c r="AN36" i="7"/>
  <c r="AO36" i="7"/>
  <c r="AP36" i="7"/>
  <c r="AQ36" i="7"/>
  <c r="AR36" i="7"/>
  <c r="AS36" i="7"/>
  <c r="AT36" i="7"/>
  <c r="AU36" i="7"/>
  <c r="AV36" i="7"/>
  <c r="AW36" i="7"/>
  <c r="AX36" i="7"/>
  <c r="AY36" i="7"/>
  <c r="O37" i="7"/>
  <c r="P37" i="7"/>
  <c r="Q37" i="7"/>
  <c r="R37" i="7"/>
  <c r="S37" i="7"/>
  <c r="T37" i="7"/>
  <c r="U37" i="7"/>
  <c r="V37" i="7"/>
  <c r="W37" i="7"/>
  <c r="X37" i="7"/>
  <c r="Y37" i="7"/>
  <c r="Z37" i="7"/>
  <c r="AA37" i="7"/>
  <c r="AB37" i="7"/>
  <c r="AC37" i="7"/>
  <c r="AD37" i="7"/>
  <c r="AE37" i="7"/>
  <c r="AF37" i="7"/>
  <c r="AG37" i="7"/>
  <c r="AH37" i="7"/>
  <c r="AI37" i="7"/>
  <c r="AJ37" i="7"/>
  <c r="AK37" i="7"/>
  <c r="AL37" i="7"/>
  <c r="AM37" i="7"/>
  <c r="AN37" i="7"/>
  <c r="AO37" i="7"/>
  <c r="AP37" i="7"/>
  <c r="AQ37" i="7"/>
  <c r="AR37" i="7"/>
  <c r="AS37" i="7"/>
  <c r="AT37" i="7"/>
  <c r="AU37" i="7"/>
  <c r="AV37" i="7"/>
  <c r="AW37" i="7"/>
  <c r="AX37" i="7"/>
  <c r="AY37" i="7"/>
  <c r="O38" i="7"/>
  <c r="P38" i="7"/>
  <c r="Q38" i="7"/>
  <c r="R38" i="7"/>
  <c r="S38" i="7"/>
  <c r="T38" i="7"/>
  <c r="U38" i="7"/>
  <c r="V38" i="7"/>
  <c r="W38" i="7"/>
  <c r="X38" i="7"/>
  <c r="Y38" i="7"/>
  <c r="Z38" i="7"/>
  <c r="AA38" i="7"/>
  <c r="AB38" i="7"/>
  <c r="AC38" i="7"/>
  <c r="AD38" i="7"/>
  <c r="AE38" i="7"/>
  <c r="AF38" i="7"/>
  <c r="AG38" i="7"/>
  <c r="AH38" i="7"/>
  <c r="AI38" i="7"/>
  <c r="AJ38" i="7"/>
  <c r="AK38" i="7"/>
  <c r="AL38" i="7"/>
  <c r="AM38" i="7"/>
  <c r="AN38" i="7"/>
  <c r="AO38" i="7"/>
  <c r="AP38" i="7"/>
  <c r="AQ38" i="7"/>
  <c r="AR38" i="7"/>
  <c r="AS38" i="7"/>
  <c r="AT38" i="7"/>
  <c r="AU38" i="7"/>
  <c r="AV38" i="7"/>
  <c r="AW38" i="7"/>
  <c r="AX38" i="7"/>
  <c r="AY38" i="7"/>
  <c r="O39" i="7"/>
  <c r="P39" i="7"/>
  <c r="Q39" i="7"/>
  <c r="R39" i="7"/>
  <c r="S39" i="7"/>
  <c r="T39" i="7"/>
  <c r="U39" i="7"/>
  <c r="V39" i="7"/>
  <c r="W39" i="7"/>
  <c r="X39" i="7"/>
  <c r="Y39" i="7"/>
  <c r="Z39" i="7"/>
  <c r="AA39" i="7"/>
  <c r="AB39" i="7"/>
  <c r="AC39" i="7"/>
  <c r="AD39" i="7"/>
  <c r="AE39" i="7"/>
  <c r="AF39" i="7"/>
  <c r="AG39" i="7"/>
  <c r="AH39" i="7"/>
  <c r="AI39" i="7"/>
  <c r="AJ39" i="7"/>
  <c r="AK39" i="7"/>
  <c r="AL39" i="7"/>
  <c r="AM39" i="7"/>
  <c r="AN39" i="7"/>
  <c r="AO39" i="7"/>
  <c r="AP39" i="7"/>
  <c r="AQ39" i="7"/>
  <c r="AR39" i="7"/>
  <c r="AS39" i="7"/>
  <c r="AT39" i="7"/>
  <c r="AU39" i="7"/>
  <c r="AV39" i="7"/>
  <c r="AW39" i="7"/>
  <c r="AX39" i="7"/>
  <c r="AY39" i="7"/>
  <c r="O40" i="7"/>
  <c r="P40" i="7"/>
  <c r="Q40" i="7"/>
  <c r="R40" i="7"/>
  <c r="S40" i="7"/>
  <c r="T40" i="7"/>
  <c r="U40" i="7"/>
  <c r="V40" i="7"/>
  <c r="W40" i="7"/>
  <c r="X40" i="7"/>
  <c r="Y40" i="7"/>
  <c r="Z40" i="7"/>
  <c r="AA40" i="7"/>
  <c r="AB40" i="7"/>
  <c r="AC40" i="7"/>
  <c r="AD40" i="7"/>
  <c r="AE40" i="7"/>
  <c r="AF40" i="7"/>
  <c r="AG40" i="7"/>
  <c r="AH40" i="7"/>
  <c r="AI40" i="7"/>
  <c r="AJ40" i="7"/>
  <c r="AK40" i="7"/>
  <c r="AL40" i="7"/>
  <c r="AM40" i="7"/>
  <c r="AN40" i="7"/>
  <c r="AO40" i="7"/>
  <c r="AP40" i="7"/>
  <c r="AQ40" i="7"/>
  <c r="AR40" i="7"/>
  <c r="AS40" i="7"/>
  <c r="AT40" i="7"/>
  <c r="AU40" i="7"/>
  <c r="AV40" i="7"/>
  <c r="AW40" i="7"/>
  <c r="AX40" i="7"/>
  <c r="AY40" i="7"/>
  <c r="O41" i="7"/>
  <c r="P41" i="7"/>
  <c r="Q41" i="7"/>
  <c r="R41" i="7"/>
  <c r="S41" i="7"/>
  <c r="T41" i="7"/>
  <c r="U41" i="7"/>
  <c r="V41" i="7"/>
  <c r="W41" i="7"/>
  <c r="X41" i="7"/>
  <c r="Y41" i="7"/>
  <c r="Z41" i="7"/>
  <c r="AA41" i="7"/>
  <c r="AB41" i="7"/>
  <c r="AC41" i="7"/>
  <c r="AD41" i="7"/>
  <c r="AE41" i="7"/>
  <c r="AF41" i="7"/>
  <c r="AG41" i="7"/>
  <c r="AH41" i="7"/>
  <c r="AI41" i="7"/>
  <c r="AJ41" i="7"/>
  <c r="AK41" i="7"/>
  <c r="AL41" i="7"/>
  <c r="AM41" i="7"/>
  <c r="AN41" i="7"/>
  <c r="AO41" i="7"/>
  <c r="AP41" i="7"/>
  <c r="AQ41" i="7"/>
  <c r="AR41" i="7"/>
  <c r="AS41" i="7"/>
  <c r="AT41" i="7"/>
  <c r="AU41" i="7"/>
  <c r="AV41" i="7"/>
  <c r="AW41" i="7"/>
  <c r="AX41" i="7"/>
  <c r="AY41" i="7"/>
  <c r="O42" i="7"/>
  <c r="P42" i="7"/>
  <c r="Q42" i="7"/>
  <c r="R42" i="7"/>
  <c r="S42" i="7"/>
  <c r="T42" i="7"/>
  <c r="U42" i="7"/>
  <c r="V42" i="7"/>
  <c r="W42" i="7"/>
  <c r="X42" i="7"/>
  <c r="Y42" i="7"/>
  <c r="Z42" i="7"/>
  <c r="AA42" i="7"/>
  <c r="AB42" i="7"/>
  <c r="AC42" i="7"/>
  <c r="AD42" i="7"/>
  <c r="AE42" i="7"/>
  <c r="AF42" i="7"/>
  <c r="AG42" i="7"/>
  <c r="AH42" i="7"/>
  <c r="AI42" i="7"/>
  <c r="AJ42" i="7"/>
  <c r="AK42" i="7"/>
  <c r="AL42" i="7"/>
  <c r="AM42" i="7"/>
  <c r="AN42" i="7"/>
  <c r="AO42" i="7"/>
  <c r="AP42" i="7"/>
  <c r="AQ42" i="7"/>
  <c r="AR42" i="7"/>
  <c r="AS42" i="7"/>
  <c r="AT42" i="7"/>
  <c r="AU42" i="7"/>
  <c r="AV42" i="7"/>
  <c r="AW42" i="7"/>
  <c r="AX42" i="7"/>
  <c r="AY42" i="7"/>
  <c r="O43" i="7"/>
  <c r="P43" i="7"/>
  <c r="Q43" i="7"/>
  <c r="R43" i="7"/>
  <c r="S43" i="7"/>
  <c r="T43" i="7"/>
  <c r="U43" i="7"/>
  <c r="V43" i="7"/>
  <c r="W43" i="7"/>
  <c r="X43" i="7"/>
  <c r="Y43" i="7"/>
  <c r="Z43" i="7"/>
  <c r="AA43" i="7"/>
  <c r="AB43" i="7"/>
  <c r="AC43" i="7"/>
  <c r="AD43" i="7"/>
  <c r="AE43" i="7"/>
  <c r="AF43" i="7"/>
  <c r="AG43" i="7"/>
  <c r="AH43" i="7"/>
  <c r="AI43" i="7"/>
  <c r="AJ43" i="7"/>
  <c r="AK43" i="7"/>
  <c r="AL43" i="7"/>
  <c r="AM43" i="7"/>
  <c r="AN43" i="7"/>
  <c r="AO43" i="7"/>
  <c r="AP43" i="7"/>
  <c r="AQ43" i="7"/>
  <c r="AR43" i="7"/>
  <c r="AS43" i="7"/>
  <c r="AT43" i="7"/>
  <c r="AU43" i="7"/>
  <c r="AV43" i="7"/>
  <c r="AW43" i="7"/>
  <c r="AX43" i="7"/>
  <c r="AY43" i="7"/>
  <c r="O44" i="7"/>
  <c r="P44" i="7"/>
  <c r="Q44" i="7"/>
  <c r="R44" i="7"/>
  <c r="S44" i="7"/>
  <c r="T44" i="7"/>
  <c r="U44" i="7"/>
  <c r="V44" i="7"/>
  <c r="W44" i="7"/>
  <c r="X44" i="7"/>
  <c r="Y44" i="7"/>
  <c r="Z44" i="7"/>
  <c r="AA44" i="7"/>
  <c r="AB44" i="7"/>
  <c r="AC44" i="7"/>
  <c r="AD44" i="7"/>
  <c r="AE44" i="7"/>
  <c r="AF44" i="7"/>
  <c r="AG44" i="7"/>
  <c r="AH44" i="7"/>
  <c r="AI44" i="7"/>
  <c r="AJ44" i="7"/>
  <c r="AK44" i="7"/>
  <c r="AL44" i="7"/>
  <c r="AM44" i="7"/>
  <c r="AN44" i="7"/>
  <c r="AO44" i="7"/>
  <c r="AP44" i="7"/>
  <c r="AQ44" i="7"/>
  <c r="AR44" i="7"/>
  <c r="AS44" i="7"/>
  <c r="AT44" i="7"/>
  <c r="AU44" i="7"/>
  <c r="AV44" i="7"/>
  <c r="AW44" i="7"/>
  <c r="AX44" i="7"/>
  <c r="AY44" i="7"/>
  <c r="O45" i="7"/>
  <c r="P45" i="7"/>
  <c r="Q45" i="7"/>
  <c r="R45" i="7"/>
  <c r="S45" i="7"/>
  <c r="T45" i="7"/>
  <c r="U45" i="7"/>
  <c r="V45" i="7"/>
  <c r="W45" i="7"/>
  <c r="X45" i="7"/>
  <c r="Y45" i="7"/>
  <c r="Z45" i="7"/>
  <c r="AA45" i="7"/>
  <c r="AB45" i="7"/>
  <c r="AC45" i="7"/>
  <c r="AD45" i="7"/>
  <c r="AE45" i="7"/>
  <c r="AF45" i="7"/>
  <c r="AG45" i="7"/>
  <c r="AH45" i="7"/>
  <c r="AI45" i="7"/>
  <c r="AJ45" i="7"/>
  <c r="AK45" i="7"/>
  <c r="AL45" i="7"/>
  <c r="AM45" i="7"/>
  <c r="AN45" i="7"/>
  <c r="AO45" i="7"/>
  <c r="AP45" i="7"/>
  <c r="AQ45" i="7"/>
  <c r="AR45" i="7"/>
  <c r="AS45" i="7"/>
  <c r="AT45" i="7"/>
  <c r="AU45" i="7"/>
  <c r="AV45" i="7"/>
  <c r="AW45" i="7"/>
  <c r="AX45" i="7"/>
  <c r="AY45" i="7"/>
  <c r="O46" i="7"/>
  <c r="P46" i="7"/>
  <c r="Q46" i="7"/>
  <c r="R46" i="7"/>
  <c r="S46" i="7"/>
  <c r="T46" i="7"/>
  <c r="U46" i="7"/>
  <c r="V46" i="7"/>
  <c r="W46" i="7"/>
  <c r="X46" i="7"/>
  <c r="Y46" i="7"/>
  <c r="Z46" i="7"/>
  <c r="AA46" i="7"/>
  <c r="AB46" i="7"/>
  <c r="AC46" i="7"/>
  <c r="AD46" i="7"/>
  <c r="AE46" i="7"/>
  <c r="AF46" i="7"/>
  <c r="AG46" i="7"/>
  <c r="AH46" i="7"/>
  <c r="AI46" i="7"/>
  <c r="AJ46" i="7"/>
  <c r="AK46" i="7"/>
  <c r="AL46" i="7"/>
  <c r="AM46" i="7"/>
  <c r="AN46" i="7"/>
  <c r="AO46" i="7"/>
  <c r="AP46" i="7"/>
  <c r="AQ46" i="7"/>
  <c r="AR46" i="7"/>
  <c r="AS46" i="7"/>
  <c r="AT46" i="7"/>
  <c r="AU46" i="7"/>
  <c r="AV46" i="7"/>
  <c r="AW46" i="7"/>
  <c r="AX46" i="7"/>
  <c r="AY46" i="7"/>
  <c r="O47" i="7"/>
  <c r="P47" i="7"/>
  <c r="Q47" i="7"/>
  <c r="R47" i="7"/>
  <c r="S47" i="7"/>
  <c r="T47" i="7"/>
  <c r="U47" i="7"/>
  <c r="V47" i="7"/>
  <c r="W47" i="7"/>
  <c r="X47" i="7"/>
  <c r="Y47" i="7"/>
  <c r="Z47" i="7"/>
  <c r="AA47" i="7"/>
  <c r="AB47" i="7"/>
  <c r="AC47" i="7"/>
  <c r="AD47" i="7"/>
  <c r="AE47" i="7"/>
  <c r="AF47" i="7"/>
  <c r="AG47" i="7"/>
  <c r="AH47" i="7"/>
  <c r="AI47" i="7"/>
  <c r="AJ47" i="7"/>
  <c r="AK47" i="7"/>
  <c r="AL47" i="7"/>
  <c r="AM47" i="7"/>
  <c r="AN47" i="7"/>
  <c r="AO47" i="7"/>
  <c r="AP47" i="7"/>
  <c r="AQ47" i="7"/>
  <c r="AR47" i="7"/>
  <c r="AS47" i="7"/>
  <c r="AT47" i="7"/>
  <c r="AU47" i="7"/>
  <c r="AV47" i="7"/>
  <c r="AW47" i="7"/>
  <c r="AX47" i="7"/>
  <c r="AY47" i="7"/>
  <c r="O48" i="7"/>
  <c r="P48" i="7"/>
  <c r="Q48" i="7"/>
  <c r="R48" i="7"/>
  <c r="S48" i="7"/>
  <c r="T48" i="7"/>
  <c r="U48" i="7"/>
  <c r="V48" i="7"/>
  <c r="W48" i="7"/>
  <c r="X48" i="7"/>
  <c r="Y48" i="7"/>
  <c r="Z48" i="7"/>
  <c r="AA48" i="7"/>
  <c r="AB48" i="7"/>
  <c r="AC48" i="7"/>
  <c r="AD48" i="7"/>
  <c r="AE48" i="7"/>
  <c r="AF48" i="7"/>
  <c r="AG48" i="7"/>
  <c r="AH48" i="7"/>
  <c r="AI48" i="7"/>
  <c r="AJ48" i="7"/>
  <c r="AK48" i="7"/>
  <c r="AL48" i="7"/>
  <c r="AM48" i="7"/>
  <c r="AN48" i="7"/>
  <c r="AO48" i="7"/>
  <c r="AP48" i="7"/>
  <c r="AQ48" i="7"/>
  <c r="AR48" i="7"/>
  <c r="AS48" i="7"/>
  <c r="AT48" i="7"/>
  <c r="AU48" i="7"/>
  <c r="AV48" i="7"/>
  <c r="AW48" i="7"/>
  <c r="AX48" i="7"/>
  <c r="AY48" i="7"/>
  <c r="O49" i="7"/>
  <c r="P49" i="7"/>
  <c r="Q49" i="7"/>
  <c r="R49" i="7"/>
  <c r="S49" i="7"/>
  <c r="T49" i="7"/>
  <c r="U49" i="7"/>
  <c r="V49" i="7"/>
  <c r="W49" i="7"/>
  <c r="X49" i="7"/>
  <c r="Y49" i="7"/>
  <c r="Z49" i="7"/>
  <c r="AA49" i="7"/>
  <c r="AB49" i="7"/>
  <c r="AC49" i="7"/>
  <c r="AD49" i="7"/>
  <c r="AE49" i="7"/>
  <c r="AF49" i="7"/>
  <c r="AG49" i="7"/>
  <c r="AH49" i="7"/>
  <c r="AI49" i="7"/>
  <c r="AJ49" i="7"/>
  <c r="AK49" i="7"/>
  <c r="AL49" i="7"/>
  <c r="AM49" i="7"/>
  <c r="AN49" i="7"/>
  <c r="AO49" i="7"/>
  <c r="AP49" i="7"/>
  <c r="AQ49" i="7"/>
  <c r="AR49" i="7"/>
  <c r="AS49" i="7"/>
  <c r="AT49" i="7"/>
  <c r="AU49" i="7"/>
  <c r="AV49" i="7"/>
  <c r="AW49" i="7"/>
  <c r="AX49" i="7"/>
  <c r="AY49" i="7"/>
  <c r="O50" i="7"/>
  <c r="P50" i="7"/>
  <c r="Q50" i="7"/>
  <c r="R50" i="7"/>
  <c r="S50" i="7"/>
  <c r="T50" i="7"/>
  <c r="U50" i="7"/>
  <c r="V50" i="7"/>
  <c r="W50" i="7"/>
  <c r="X50" i="7"/>
  <c r="Y50" i="7"/>
  <c r="Z50" i="7"/>
  <c r="AA50" i="7"/>
  <c r="AB50" i="7"/>
  <c r="AC50" i="7"/>
  <c r="AD50" i="7"/>
  <c r="AE50" i="7"/>
  <c r="AF50" i="7"/>
  <c r="AG50" i="7"/>
  <c r="AH50" i="7"/>
  <c r="AI50" i="7"/>
  <c r="AJ50" i="7"/>
  <c r="AK50" i="7"/>
  <c r="AL50" i="7"/>
  <c r="AM50" i="7"/>
  <c r="AN50" i="7"/>
  <c r="AO50" i="7"/>
  <c r="AP50" i="7"/>
  <c r="AQ50" i="7"/>
  <c r="AR50" i="7"/>
  <c r="AS50" i="7"/>
  <c r="AT50" i="7"/>
  <c r="AU50" i="7"/>
  <c r="AV50" i="7"/>
  <c r="AW50" i="7"/>
  <c r="AX50" i="7"/>
  <c r="AY50" i="7"/>
  <c r="O51" i="7"/>
  <c r="P51" i="7"/>
  <c r="Q51" i="7"/>
  <c r="R51" i="7"/>
  <c r="S51" i="7"/>
  <c r="T51" i="7"/>
  <c r="U51" i="7"/>
  <c r="V51" i="7"/>
  <c r="W51" i="7"/>
  <c r="X51" i="7"/>
  <c r="Y51" i="7"/>
  <c r="Z51" i="7"/>
  <c r="AA51" i="7"/>
  <c r="AB51" i="7"/>
  <c r="AC51" i="7"/>
  <c r="AD51" i="7"/>
  <c r="AE51" i="7"/>
  <c r="AF51" i="7"/>
  <c r="AG51" i="7"/>
  <c r="AH51" i="7"/>
  <c r="AI51" i="7"/>
  <c r="AJ51" i="7"/>
  <c r="AK51" i="7"/>
  <c r="AL51" i="7"/>
  <c r="AM51" i="7"/>
  <c r="AN51" i="7"/>
  <c r="AO51" i="7"/>
  <c r="AP51" i="7"/>
  <c r="AQ51" i="7"/>
  <c r="AR51" i="7"/>
  <c r="AS51" i="7"/>
  <c r="AT51" i="7"/>
  <c r="AU51" i="7"/>
  <c r="AV51" i="7"/>
  <c r="AW51" i="7"/>
  <c r="AX51" i="7"/>
  <c r="AY51" i="7"/>
  <c r="O52" i="7"/>
  <c r="P52" i="7"/>
  <c r="Q52" i="7"/>
  <c r="R52" i="7"/>
  <c r="S52" i="7"/>
  <c r="T52" i="7"/>
  <c r="U52" i="7"/>
  <c r="V52" i="7"/>
  <c r="W52" i="7"/>
  <c r="X52" i="7"/>
  <c r="Y52" i="7"/>
  <c r="Z52" i="7"/>
  <c r="AA52" i="7"/>
  <c r="AB52" i="7"/>
  <c r="AC52" i="7"/>
  <c r="AD52" i="7"/>
  <c r="AE52" i="7"/>
  <c r="AF52" i="7"/>
  <c r="AG52" i="7"/>
  <c r="AH52" i="7"/>
  <c r="AI52" i="7"/>
  <c r="AJ52" i="7"/>
  <c r="AK52" i="7"/>
  <c r="AL52" i="7"/>
  <c r="AM52" i="7"/>
  <c r="AN52" i="7"/>
  <c r="AO52" i="7"/>
  <c r="AP52" i="7"/>
  <c r="AQ52" i="7"/>
  <c r="AR52" i="7"/>
  <c r="AS52" i="7"/>
  <c r="AT52" i="7"/>
  <c r="AU52" i="7"/>
  <c r="AV52" i="7"/>
  <c r="AW52" i="7"/>
  <c r="AX52" i="7"/>
  <c r="AY52" i="7"/>
  <c r="O53" i="7"/>
  <c r="P53" i="7"/>
  <c r="Q53" i="7"/>
  <c r="R53" i="7"/>
  <c r="S53" i="7"/>
  <c r="T53" i="7"/>
  <c r="U53" i="7"/>
  <c r="V53" i="7"/>
  <c r="W53" i="7"/>
  <c r="X53" i="7"/>
  <c r="Y53" i="7"/>
  <c r="Z53" i="7"/>
  <c r="AA53" i="7"/>
  <c r="AB53" i="7"/>
  <c r="AC53" i="7"/>
  <c r="AD53" i="7"/>
  <c r="AE53" i="7"/>
  <c r="AF53" i="7"/>
  <c r="AG53" i="7"/>
  <c r="AH53" i="7"/>
  <c r="AI53" i="7"/>
  <c r="AJ53" i="7"/>
  <c r="AK53" i="7"/>
  <c r="AL53" i="7"/>
  <c r="AM53" i="7"/>
  <c r="AN53" i="7"/>
  <c r="AO53" i="7"/>
  <c r="AP53" i="7"/>
  <c r="AQ53" i="7"/>
  <c r="AR53" i="7"/>
  <c r="AS53" i="7"/>
  <c r="AT53" i="7"/>
  <c r="AU53" i="7"/>
  <c r="AV53" i="7"/>
  <c r="AW53" i="7"/>
  <c r="AX53" i="7"/>
  <c r="AY53" i="7"/>
  <c r="O54" i="7"/>
  <c r="P54" i="7"/>
  <c r="Q54" i="7"/>
  <c r="R54" i="7"/>
  <c r="S54" i="7"/>
  <c r="T54" i="7"/>
  <c r="U54" i="7"/>
  <c r="V54" i="7"/>
  <c r="W54" i="7"/>
  <c r="X54" i="7"/>
  <c r="Y54" i="7"/>
  <c r="Z54" i="7"/>
  <c r="AA54" i="7"/>
  <c r="AB54" i="7"/>
  <c r="AC54" i="7"/>
  <c r="AD54" i="7"/>
  <c r="AE54" i="7"/>
  <c r="AF54" i="7"/>
  <c r="AG54" i="7"/>
  <c r="AH54" i="7"/>
  <c r="AI54" i="7"/>
  <c r="AJ54" i="7"/>
  <c r="AK54" i="7"/>
  <c r="AL54" i="7"/>
  <c r="AM54" i="7"/>
  <c r="AN54" i="7"/>
  <c r="AO54" i="7"/>
  <c r="AP54" i="7"/>
  <c r="AQ54" i="7"/>
  <c r="AR54" i="7"/>
  <c r="AS54" i="7"/>
  <c r="AT54" i="7"/>
  <c r="AU54" i="7"/>
  <c r="AV54" i="7"/>
  <c r="AW54" i="7"/>
  <c r="AX54" i="7"/>
  <c r="AY54" i="7"/>
  <c r="O55" i="7"/>
  <c r="P55" i="7"/>
  <c r="Q55" i="7"/>
  <c r="R55" i="7"/>
  <c r="S55" i="7"/>
  <c r="T55" i="7"/>
  <c r="U55" i="7"/>
  <c r="V55" i="7"/>
  <c r="W55" i="7"/>
  <c r="X55" i="7"/>
  <c r="Y55" i="7"/>
  <c r="Z55" i="7"/>
  <c r="AA55" i="7"/>
  <c r="AB55" i="7"/>
  <c r="AC55" i="7"/>
  <c r="AD55" i="7"/>
  <c r="AE55" i="7"/>
  <c r="AF55" i="7"/>
  <c r="AG55" i="7"/>
  <c r="AH55" i="7"/>
  <c r="AI55" i="7"/>
  <c r="AJ55" i="7"/>
  <c r="AK55" i="7"/>
  <c r="AL55" i="7"/>
  <c r="AM55" i="7"/>
  <c r="AN55" i="7"/>
  <c r="AO55" i="7"/>
  <c r="AP55" i="7"/>
  <c r="AQ55" i="7"/>
  <c r="AR55" i="7"/>
  <c r="AS55" i="7"/>
  <c r="AT55" i="7"/>
  <c r="AU55" i="7"/>
  <c r="AV55" i="7"/>
  <c r="AW55" i="7"/>
  <c r="AX55" i="7"/>
  <c r="AY55" i="7"/>
  <c r="O56" i="7"/>
  <c r="P56" i="7"/>
  <c r="Q56" i="7"/>
  <c r="R56" i="7"/>
  <c r="S56" i="7"/>
  <c r="T56" i="7"/>
  <c r="U56" i="7"/>
  <c r="V56" i="7"/>
  <c r="W56" i="7"/>
  <c r="X56" i="7"/>
  <c r="Y56" i="7"/>
  <c r="Z56" i="7"/>
  <c r="AA56" i="7"/>
  <c r="AB56" i="7"/>
  <c r="AC56" i="7"/>
  <c r="AD56" i="7"/>
  <c r="AE56" i="7"/>
  <c r="AF56" i="7"/>
  <c r="AG56" i="7"/>
  <c r="AH56" i="7"/>
  <c r="AI56" i="7"/>
  <c r="AJ56" i="7"/>
  <c r="AK56" i="7"/>
  <c r="AL56" i="7"/>
  <c r="AM56" i="7"/>
  <c r="AN56" i="7"/>
  <c r="AO56" i="7"/>
  <c r="AP56" i="7"/>
  <c r="AQ56" i="7"/>
  <c r="AR56" i="7"/>
  <c r="AS56" i="7"/>
  <c r="AT56" i="7"/>
  <c r="AU56" i="7"/>
  <c r="AV56" i="7"/>
  <c r="AW56" i="7"/>
  <c r="AX56" i="7"/>
  <c r="AY56"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O58" i="7"/>
  <c r="P58" i="7"/>
  <c r="Q58" i="7"/>
  <c r="R58" i="7"/>
  <c r="S58" i="7"/>
  <c r="T58" i="7"/>
  <c r="U58" i="7"/>
  <c r="V58" i="7"/>
  <c r="W58" i="7"/>
  <c r="X58" i="7"/>
  <c r="Y58" i="7"/>
  <c r="Z58" i="7"/>
  <c r="AA58" i="7"/>
  <c r="AB58" i="7"/>
  <c r="AC58" i="7"/>
  <c r="AD58" i="7"/>
  <c r="AE58" i="7"/>
  <c r="AF58" i="7"/>
  <c r="AG58" i="7"/>
  <c r="AH58" i="7"/>
  <c r="AI58" i="7"/>
  <c r="AJ58" i="7"/>
  <c r="AK58" i="7"/>
  <c r="AL58" i="7"/>
  <c r="AM58" i="7"/>
  <c r="AN58" i="7"/>
  <c r="AO58" i="7"/>
  <c r="AP58" i="7"/>
  <c r="AQ58" i="7"/>
  <c r="AR58" i="7"/>
  <c r="AS58" i="7"/>
  <c r="AT58" i="7"/>
  <c r="AU58" i="7"/>
  <c r="AV58" i="7"/>
  <c r="AW58" i="7"/>
  <c r="AX58" i="7"/>
  <c r="AY58" i="7"/>
  <c r="O59" i="7"/>
  <c r="P59" i="7"/>
  <c r="Q59" i="7"/>
  <c r="R59" i="7"/>
  <c r="S59" i="7"/>
  <c r="T59" i="7"/>
  <c r="U59" i="7"/>
  <c r="V59" i="7"/>
  <c r="W59" i="7"/>
  <c r="X59" i="7"/>
  <c r="Y59" i="7"/>
  <c r="Z59" i="7"/>
  <c r="AA59" i="7"/>
  <c r="AB59" i="7"/>
  <c r="AC59" i="7"/>
  <c r="AD59" i="7"/>
  <c r="AE59" i="7"/>
  <c r="AF59" i="7"/>
  <c r="AG59" i="7"/>
  <c r="AH59" i="7"/>
  <c r="AI59" i="7"/>
  <c r="AJ59" i="7"/>
  <c r="AK59" i="7"/>
  <c r="AL59" i="7"/>
  <c r="AM59" i="7"/>
  <c r="AN59" i="7"/>
  <c r="AO59" i="7"/>
  <c r="AP59" i="7"/>
  <c r="AQ59" i="7"/>
  <c r="AR59" i="7"/>
  <c r="AS59" i="7"/>
  <c r="AT59" i="7"/>
  <c r="AU59" i="7"/>
  <c r="AV59" i="7"/>
  <c r="AW59" i="7"/>
  <c r="AX59" i="7"/>
  <c r="AY59" i="7"/>
  <c r="O60" i="7"/>
  <c r="P60" i="7"/>
  <c r="Q60" i="7"/>
  <c r="R60" i="7"/>
  <c r="S60" i="7"/>
  <c r="T60" i="7"/>
  <c r="U60" i="7"/>
  <c r="V60" i="7"/>
  <c r="W60" i="7"/>
  <c r="X60" i="7"/>
  <c r="Y60" i="7"/>
  <c r="Z60" i="7"/>
  <c r="AA60" i="7"/>
  <c r="AB60" i="7"/>
  <c r="AC60" i="7"/>
  <c r="AD60" i="7"/>
  <c r="AE60" i="7"/>
  <c r="AF60" i="7"/>
  <c r="AG60" i="7"/>
  <c r="AH60" i="7"/>
  <c r="AI60" i="7"/>
  <c r="AJ60" i="7"/>
  <c r="AK60" i="7"/>
  <c r="AL60" i="7"/>
  <c r="AM60" i="7"/>
  <c r="AN60" i="7"/>
  <c r="AO60" i="7"/>
  <c r="AP60" i="7"/>
  <c r="AQ60" i="7"/>
  <c r="AR60" i="7"/>
  <c r="AS60" i="7"/>
  <c r="AT60" i="7"/>
  <c r="AU60" i="7"/>
  <c r="AV60" i="7"/>
  <c r="AW60" i="7"/>
  <c r="AX60" i="7"/>
  <c r="AY60" i="7"/>
  <c r="O61" i="7"/>
  <c r="P61" i="7"/>
  <c r="Q61" i="7"/>
  <c r="R61" i="7"/>
  <c r="S61" i="7"/>
  <c r="T61" i="7"/>
  <c r="U61" i="7"/>
  <c r="V61" i="7"/>
  <c r="W61" i="7"/>
  <c r="X61" i="7"/>
  <c r="Y61" i="7"/>
  <c r="Z61" i="7"/>
  <c r="AA61" i="7"/>
  <c r="AB61" i="7"/>
  <c r="AC61" i="7"/>
  <c r="AD61" i="7"/>
  <c r="AE61" i="7"/>
  <c r="AF61" i="7"/>
  <c r="AG61" i="7"/>
  <c r="AH61" i="7"/>
  <c r="AI61" i="7"/>
  <c r="AJ61" i="7"/>
  <c r="AK61" i="7"/>
  <c r="AL61" i="7"/>
  <c r="AM61" i="7"/>
  <c r="AN61" i="7"/>
  <c r="AO61" i="7"/>
  <c r="AP61" i="7"/>
  <c r="AQ61" i="7"/>
  <c r="AR61" i="7"/>
  <c r="AS61" i="7"/>
  <c r="AT61" i="7"/>
  <c r="AU61" i="7"/>
  <c r="AV61" i="7"/>
  <c r="AW61" i="7"/>
  <c r="AX61" i="7"/>
  <c r="AY61" i="7"/>
  <c r="O62" i="7"/>
  <c r="P62" i="7"/>
  <c r="Q62" i="7"/>
  <c r="R62" i="7"/>
  <c r="S62" i="7"/>
  <c r="T62" i="7"/>
  <c r="U62" i="7"/>
  <c r="V62" i="7"/>
  <c r="W62" i="7"/>
  <c r="X62" i="7"/>
  <c r="Y62" i="7"/>
  <c r="Z62" i="7"/>
  <c r="AA62" i="7"/>
  <c r="AB62" i="7"/>
  <c r="AC62" i="7"/>
  <c r="AD62" i="7"/>
  <c r="AE62" i="7"/>
  <c r="AF62" i="7"/>
  <c r="AG62" i="7"/>
  <c r="AH62" i="7"/>
  <c r="AI62" i="7"/>
  <c r="AJ62" i="7"/>
  <c r="AK62" i="7"/>
  <c r="AL62" i="7"/>
  <c r="AM62" i="7"/>
  <c r="AN62" i="7"/>
  <c r="AO62" i="7"/>
  <c r="AP62" i="7"/>
  <c r="AQ62" i="7"/>
  <c r="AR62" i="7"/>
  <c r="AS62" i="7"/>
  <c r="AT62" i="7"/>
  <c r="AU62" i="7"/>
  <c r="AV62" i="7"/>
  <c r="AW62" i="7"/>
  <c r="AX62" i="7"/>
  <c r="AY62" i="7"/>
  <c r="O63" i="7"/>
  <c r="P63" i="7"/>
  <c r="Q63" i="7"/>
  <c r="R63" i="7"/>
  <c r="S63" i="7"/>
  <c r="T63" i="7"/>
  <c r="U63" i="7"/>
  <c r="V63" i="7"/>
  <c r="W63" i="7"/>
  <c r="X63" i="7"/>
  <c r="Y63" i="7"/>
  <c r="Z63" i="7"/>
  <c r="AA63" i="7"/>
  <c r="AB63" i="7"/>
  <c r="AC63" i="7"/>
  <c r="AD63" i="7"/>
  <c r="AE63" i="7"/>
  <c r="AF63" i="7"/>
  <c r="AG63" i="7"/>
  <c r="AH63" i="7"/>
  <c r="AI63" i="7"/>
  <c r="AJ63" i="7"/>
  <c r="AK63" i="7"/>
  <c r="AL63" i="7"/>
  <c r="AM63" i="7"/>
  <c r="AN63" i="7"/>
  <c r="AO63" i="7"/>
  <c r="AP63" i="7"/>
  <c r="AQ63" i="7"/>
  <c r="AR63" i="7"/>
  <c r="AS63" i="7"/>
  <c r="AT63" i="7"/>
  <c r="AU63" i="7"/>
  <c r="AV63" i="7"/>
  <c r="AW63" i="7"/>
  <c r="AX63" i="7"/>
  <c r="AY63" i="7"/>
  <c r="O64" i="7"/>
  <c r="P64" i="7"/>
  <c r="Q64" i="7"/>
  <c r="R64" i="7"/>
  <c r="S64" i="7"/>
  <c r="T64" i="7"/>
  <c r="U64" i="7"/>
  <c r="V64" i="7"/>
  <c r="W64" i="7"/>
  <c r="X64" i="7"/>
  <c r="Y64" i="7"/>
  <c r="Z64" i="7"/>
  <c r="AA64" i="7"/>
  <c r="AB64" i="7"/>
  <c r="AC64" i="7"/>
  <c r="AD64" i="7"/>
  <c r="AE64" i="7"/>
  <c r="AF64" i="7"/>
  <c r="AG64" i="7"/>
  <c r="AH64" i="7"/>
  <c r="AI64" i="7"/>
  <c r="AJ64" i="7"/>
  <c r="AK64" i="7"/>
  <c r="AL64" i="7"/>
  <c r="AM64" i="7"/>
  <c r="AN64" i="7"/>
  <c r="AO64" i="7"/>
  <c r="AP64" i="7"/>
  <c r="AQ64" i="7"/>
  <c r="AR64" i="7"/>
  <c r="AS64" i="7"/>
  <c r="AT64" i="7"/>
  <c r="AU64" i="7"/>
  <c r="AV64" i="7"/>
  <c r="AW64" i="7"/>
  <c r="AX64" i="7"/>
  <c r="AY64" i="7"/>
  <c r="O65" i="7"/>
  <c r="P65" i="7"/>
  <c r="Q65" i="7"/>
  <c r="R65" i="7"/>
  <c r="S65" i="7"/>
  <c r="T65" i="7"/>
  <c r="U65" i="7"/>
  <c r="V65" i="7"/>
  <c r="W65" i="7"/>
  <c r="X65" i="7"/>
  <c r="Y65" i="7"/>
  <c r="Z65" i="7"/>
  <c r="AA65" i="7"/>
  <c r="AB65" i="7"/>
  <c r="AC65" i="7"/>
  <c r="AD65" i="7"/>
  <c r="AE65" i="7"/>
  <c r="AF65" i="7"/>
  <c r="AG65" i="7"/>
  <c r="AH65" i="7"/>
  <c r="AI65" i="7"/>
  <c r="AJ65" i="7"/>
  <c r="AK65" i="7"/>
  <c r="AL65" i="7"/>
  <c r="AM65" i="7"/>
  <c r="AN65" i="7"/>
  <c r="AO65" i="7"/>
  <c r="AP65" i="7"/>
  <c r="AQ65" i="7"/>
  <c r="AR65" i="7"/>
  <c r="AS65" i="7"/>
  <c r="AT65" i="7"/>
  <c r="AU65" i="7"/>
  <c r="AV65" i="7"/>
  <c r="AW65" i="7"/>
  <c r="AX65" i="7"/>
  <c r="AY65" i="7"/>
  <c r="O66" i="7"/>
  <c r="P66" i="7"/>
  <c r="Q66" i="7"/>
  <c r="R66" i="7"/>
  <c r="S66" i="7"/>
  <c r="T66" i="7"/>
  <c r="U66" i="7"/>
  <c r="V66" i="7"/>
  <c r="W66" i="7"/>
  <c r="X66" i="7"/>
  <c r="Y66" i="7"/>
  <c r="Z66" i="7"/>
  <c r="AA66" i="7"/>
  <c r="AB66" i="7"/>
  <c r="AC66" i="7"/>
  <c r="AD66" i="7"/>
  <c r="AE66" i="7"/>
  <c r="AF66" i="7"/>
  <c r="AG66" i="7"/>
  <c r="AH66" i="7"/>
  <c r="AI66" i="7"/>
  <c r="AJ66" i="7"/>
  <c r="AK66" i="7"/>
  <c r="AL66" i="7"/>
  <c r="AM66" i="7"/>
  <c r="AN66" i="7"/>
  <c r="AO66" i="7"/>
  <c r="AP66" i="7"/>
  <c r="AQ66" i="7"/>
  <c r="AR66" i="7"/>
  <c r="AS66" i="7"/>
  <c r="AT66" i="7"/>
  <c r="AU66" i="7"/>
  <c r="AV66" i="7"/>
  <c r="AW66" i="7"/>
  <c r="AX66" i="7"/>
  <c r="AY66" i="7"/>
  <c r="O67" i="7"/>
  <c r="P67" i="7"/>
  <c r="Q67" i="7"/>
  <c r="R67" i="7"/>
  <c r="S67" i="7"/>
  <c r="T67" i="7"/>
  <c r="U67" i="7"/>
  <c r="V67" i="7"/>
  <c r="W67" i="7"/>
  <c r="X67" i="7"/>
  <c r="Y67" i="7"/>
  <c r="Z67" i="7"/>
  <c r="AA67" i="7"/>
  <c r="AB67" i="7"/>
  <c r="AC67" i="7"/>
  <c r="AD67" i="7"/>
  <c r="AE67" i="7"/>
  <c r="AF67" i="7"/>
  <c r="AG67" i="7"/>
  <c r="AH67" i="7"/>
  <c r="AI67" i="7"/>
  <c r="AJ67" i="7"/>
  <c r="AK67" i="7"/>
  <c r="AL67" i="7"/>
  <c r="AM67" i="7"/>
  <c r="AN67" i="7"/>
  <c r="AO67" i="7"/>
  <c r="AP67" i="7"/>
  <c r="AQ67" i="7"/>
  <c r="AR67" i="7"/>
  <c r="AS67" i="7"/>
  <c r="AT67" i="7"/>
  <c r="AU67" i="7"/>
  <c r="AV67" i="7"/>
  <c r="AW67" i="7"/>
  <c r="AX67" i="7"/>
  <c r="AY67" i="7"/>
  <c r="O68" i="7"/>
  <c r="P68" i="7"/>
  <c r="Q68" i="7"/>
  <c r="R68" i="7"/>
  <c r="S68" i="7"/>
  <c r="T68" i="7"/>
  <c r="U68" i="7"/>
  <c r="V68" i="7"/>
  <c r="W68" i="7"/>
  <c r="X68" i="7"/>
  <c r="Y68" i="7"/>
  <c r="Z68" i="7"/>
  <c r="AA68" i="7"/>
  <c r="AB68" i="7"/>
  <c r="AC68" i="7"/>
  <c r="AD68" i="7"/>
  <c r="AE68" i="7"/>
  <c r="AF68" i="7"/>
  <c r="AG68" i="7"/>
  <c r="AH68" i="7"/>
  <c r="AI68" i="7"/>
  <c r="AJ68" i="7"/>
  <c r="AK68" i="7"/>
  <c r="AL68" i="7"/>
  <c r="AM68" i="7"/>
  <c r="AN68" i="7"/>
  <c r="AO68" i="7"/>
  <c r="AP68" i="7"/>
  <c r="AQ68" i="7"/>
  <c r="AR68" i="7"/>
  <c r="AS68" i="7"/>
  <c r="AT68" i="7"/>
  <c r="AU68" i="7"/>
  <c r="AV68" i="7"/>
  <c r="AW68" i="7"/>
  <c r="AX68" i="7"/>
  <c r="AY68" i="7"/>
  <c r="O69" i="7"/>
  <c r="P69" i="7"/>
  <c r="Q69" i="7"/>
  <c r="R69" i="7"/>
  <c r="S69" i="7"/>
  <c r="T69" i="7"/>
  <c r="U69" i="7"/>
  <c r="V69" i="7"/>
  <c r="W69" i="7"/>
  <c r="X69" i="7"/>
  <c r="Y69" i="7"/>
  <c r="Z69" i="7"/>
  <c r="AA69" i="7"/>
  <c r="AB69" i="7"/>
  <c r="AC69" i="7"/>
  <c r="AD69" i="7"/>
  <c r="AE69" i="7"/>
  <c r="AF69" i="7"/>
  <c r="AG69" i="7"/>
  <c r="AH69" i="7"/>
  <c r="AI69" i="7"/>
  <c r="AJ69" i="7"/>
  <c r="AK69" i="7"/>
  <c r="AL69" i="7"/>
  <c r="AM69" i="7"/>
  <c r="AN69" i="7"/>
  <c r="AO69" i="7"/>
  <c r="AP69" i="7"/>
  <c r="AQ69" i="7"/>
  <c r="AR69" i="7"/>
  <c r="AS69" i="7"/>
  <c r="AT69" i="7"/>
  <c r="AU69" i="7"/>
  <c r="AV69" i="7"/>
  <c r="AW69" i="7"/>
  <c r="AX69" i="7"/>
  <c r="AY69" i="7"/>
  <c r="O70" i="7"/>
  <c r="P70" i="7"/>
  <c r="Q70" i="7"/>
  <c r="R70" i="7"/>
  <c r="S70" i="7"/>
  <c r="T70" i="7"/>
  <c r="U70" i="7"/>
  <c r="V70" i="7"/>
  <c r="W70" i="7"/>
  <c r="X70" i="7"/>
  <c r="Y70" i="7"/>
  <c r="Z70" i="7"/>
  <c r="AA70" i="7"/>
  <c r="AB70" i="7"/>
  <c r="AC70" i="7"/>
  <c r="AD70" i="7"/>
  <c r="AE70" i="7"/>
  <c r="AF70" i="7"/>
  <c r="AG70" i="7"/>
  <c r="AH70" i="7"/>
  <c r="AI70" i="7"/>
  <c r="AJ70" i="7"/>
  <c r="AK70" i="7"/>
  <c r="AL70" i="7"/>
  <c r="AM70" i="7"/>
  <c r="AN70" i="7"/>
  <c r="AO70" i="7"/>
  <c r="AP70" i="7"/>
  <c r="AQ70" i="7"/>
  <c r="AR70" i="7"/>
  <c r="AS70" i="7"/>
  <c r="AT70" i="7"/>
  <c r="AU70" i="7"/>
  <c r="AV70" i="7"/>
  <c r="AW70" i="7"/>
  <c r="AX70" i="7"/>
  <c r="AY70" i="7"/>
  <c r="O71" i="7"/>
  <c r="P71" i="7"/>
  <c r="Q71" i="7"/>
  <c r="R71" i="7"/>
  <c r="S71" i="7"/>
  <c r="T71" i="7"/>
  <c r="U71" i="7"/>
  <c r="V71" i="7"/>
  <c r="W71" i="7"/>
  <c r="X71" i="7"/>
  <c r="Y71" i="7"/>
  <c r="Z71" i="7"/>
  <c r="AA71" i="7"/>
  <c r="AB71" i="7"/>
  <c r="AC71" i="7"/>
  <c r="AD71" i="7"/>
  <c r="AE71" i="7"/>
  <c r="AF71" i="7"/>
  <c r="AG71" i="7"/>
  <c r="AH71" i="7"/>
  <c r="AI71" i="7"/>
  <c r="AJ71" i="7"/>
  <c r="AK71" i="7"/>
  <c r="AL71" i="7"/>
  <c r="AM71" i="7"/>
  <c r="AN71" i="7"/>
  <c r="AO71" i="7"/>
  <c r="AP71" i="7"/>
  <c r="AQ71" i="7"/>
  <c r="AR71" i="7"/>
  <c r="AS71" i="7"/>
  <c r="AT71" i="7"/>
  <c r="AU71" i="7"/>
  <c r="AV71" i="7"/>
  <c r="AW71" i="7"/>
  <c r="AX71" i="7"/>
  <c r="AY71" i="7"/>
  <c r="O72" i="7"/>
  <c r="P72" i="7"/>
  <c r="Q72" i="7"/>
  <c r="R72" i="7"/>
  <c r="S72" i="7"/>
  <c r="T72" i="7"/>
  <c r="U72" i="7"/>
  <c r="V72" i="7"/>
  <c r="W72" i="7"/>
  <c r="X72" i="7"/>
  <c r="Y72" i="7"/>
  <c r="Z72" i="7"/>
  <c r="AA72" i="7"/>
  <c r="AB72" i="7"/>
  <c r="AC72" i="7"/>
  <c r="AD72" i="7"/>
  <c r="AE72" i="7"/>
  <c r="AF72" i="7"/>
  <c r="AG72" i="7"/>
  <c r="AH72" i="7"/>
  <c r="AI72" i="7"/>
  <c r="AJ72" i="7"/>
  <c r="AK72" i="7"/>
  <c r="AL72" i="7"/>
  <c r="AM72" i="7"/>
  <c r="AN72" i="7"/>
  <c r="AO72" i="7"/>
  <c r="AP72" i="7"/>
  <c r="AQ72" i="7"/>
  <c r="AR72" i="7"/>
  <c r="AS72" i="7"/>
  <c r="AT72" i="7"/>
  <c r="AU72" i="7"/>
  <c r="AV72" i="7"/>
  <c r="AW72" i="7"/>
  <c r="AX72" i="7"/>
  <c r="AY72" i="7"/>
  <c r="O73" i="7"/>
  <c r="P73" i="7"/>
  <c r="Q73" i="7"/>
  <c r="R73" i="7"/>
  <c r="S73" i="7"/>
  <c r="T73" i="7"/>
  <c r="U73" i="7"/>
  <c r="V73" i="7"/>
  <c r="W73" i="7"/>
  <c r="X73" i="7"/>
  <c r="Y73" i="7"/>
  <c r="Z73" i="7"/>
  <c r="AA73" i="7"/>
  <c r="AB73" i="7"/>
  <c r="AC73" i="7"/>
  <c r="AD73" i="7"/>
  <c r="AE73" i="7"/>
  <c r="AF73" i="7"/>
  <c r="AG73" i="7"/>
  <c r="AH73" i="7"/>
  <c r="AI73" i="7"/>
  <c r="AJ73" i="7"/>
  <c r="AK73" i="7"/>
  <c r="AL73" i="7"/>
  <c r="AM73" i="7"/>
  <c r="AN73" i="7"/>
  <c r="AO73" i="7"/>
  <c r="AP73" i="7"/>
  <c r="AQ73" i="7"/>
  <c r="AR73" i="7"/>
  <c r="AS73" i="7"/>
  <c r="AT73" i="7"/>
  <c r="AU73" i="7"/>
  <c r="AV73" i="7"/>
  <c r="AW73" i="7"/>
  <c r="AX73" i="7"/>
  <c r="AY73" i="7"/>
  <c r="O74" i="7"/>
  <c r="P74" i="7"/>
  <c r="Q74" i="7"/>
  <c r="R74" i="7"/>
  <c r="S74" i="7"/>
  <c r="T74" i="7"/>
  <c r="U74" i="7"/>
  <c r="V74" i="7"/>
  <c r="W74" i="7"/>
  <c r="X74" i="7"/>
  <c r="Y74" i="7"/>
  <c r="Z74" i="7"/>
  <c r="AA74" i="7"/>
  <c r="AB74" i="7"/>
  <c r="AC74" i="7"/>
  <c r="AD74" i="7"/>
  <c r="AE74" i="7"/>
  <c r="AF74" i="7"/>
  <c r="AG74" i="7"/>
  <c r="AH74" i="7"/>
  <c r="AI74" i="7"/>
  <c r="AJ74" i="7"/>
  <c r="AK74" i="7"/>
  <c r="AL74" i="7"/>
  <c r="AM74" i="7"/>
  <c r="AN74" i="7"/>
  <c r="AO74" i="7"/>
  <c r="AP74" i="7"/>
  <c r="AQ74" i="7"/>
  <c r="AR74" i="7"/>
  <c r="AS74" i="7"/>
  <c r="AT74" i="7"/>
  <c r="AU74" i="7"/>
  <c r="AV74" i="7"/>
  <c r="AW74" i="7"/>
  <c r="AX74" i="7"/>
  <c r="AY74" i="7"/>
  <c r="O75" i="7"/>
  <c r="P75" i="7"/>
  <c r="Q75" i="7"/>
  <c r="R75" i="7"/>
  <c r="S75" i="7"/>
  <c r="T75" i="7"/>
  <c r="U75" i="7"/>
  <c r="V75" i="7"/>
  <c r="W75" i="7"/>
  <c r="X75" i="7"/>
  <c r="Y75" i="7"/>
  <c r="Z75" i="7"/>
  <c r="AA75" i="7"/>
  <c r="AB75" i="7"/>
  <c r="AC75" i="7"/>
  <c r="AD75" i="7"/>
  <c r="AE75" i="7"/>
  <c r="AF75" i="7"/>
  <c r="AG75" i="7"/>
  <c r="AH75" i="7"/>
  <c r="AI75" i="7"/>
  <c r="AJ75" i="7"/>
  <c r="AK75" i="7"/>
  <c r="AL75" i="7"/>
  <c r="AM75" i="7"/>
  <c r="AN75" i="7"/>
  <c r="AO75" i="7"/>
  <c r="AP75" i="7"/>
  <c r="AQ75" i="7"/>
  <c r="AR75" i="7"/>
  <c r="AS75" i="7"/>
  <c r="AT75" i="7"/>
  <c r="AU75" i="7"/>
  <c r="AV75" i="7"/>
  <c r="AW75" i="7"/>
  <c r="AX75" i="7"/>
  <c r="AY75" i="7"/>
  <c r="O76" i="7"/>
  <c r="P76" i="7"/>
  <c r="Q76" i="7"/>
  <c r="R76" i="7"/>
  <c r="S76" i="7"/>
  <c r="T76" i="7"/>
  <c r="U76" i="7"/>
  <c r="V76" i="7"/>
  <c r="W76" i="7"/>
  <c r="X76" i="7"/>
  <c r="Y76" i="7"/>
  <c r="Z76" i="7"/>
  <c r="AA76" i="7"/>
  <c r="AB76" i="7"/>
  <c r="AC76" i="7"/>
  <c r="AD76" i="7"/>
  <c r="AE76" i="7"/>
  <c r="AF76" i="7"/>
  <c r="AG76" i="7"/>
  <c r="AH76" i="7"/>
  <c r="AI76" i="7"/>
  <c r="AJ76" i="7"/>
  <c r="AK76" i="7"/>
  <c r="AL76" i="7"/>
  <c r="AM76" i="7"/>
  <c r="AN76" i="7"/>
  <c r="AO76" i="7"/>
  <c r="AP76" i="7"/>
  <c r="AQ76" i="7"/>
  <c r="AR76" i="7"/>
  <c r="AS76" i="7"/>
  <c r="AT76" i="7"/>
  <c r="AU76" i="7"/>
  <c r="AV76" i="7"/>
  <c r="AW76" i="7"/>
  <c r="AX76" i="7"/>
  <c r="AY76" i="7"/>
  <c r="O77" i="7"/>
  <c r="P77" i="7"/>
  <c r="Q77" i="7"/>
  <c r="R77" i="7"/>
  <c r="S77" i="7"/>
  <c r="T77" i="7"/>
  <c r="U77" i="7"/>
  <c r="V77" i="7"/>
  <c r="W77" i="7"/>
  <c r="X77" i="7"/>
  <c r="Y77" i="7"/>
  <c r="Z77" i="7"/>
  <c r="AA77" i="7"/>
  <c r="AB77" i="7"/>
  <c r="AC77" i="7"/>
  <c r="AD77" i="7"/>
  <c r="AE77" i="7"/>
  <c r="AF77" i="7"/>
  <c r="AG77" i="7"/>
  <c r="AH77" i="7"/>
  <c r="AI77" i="7"/>
  <c r="AJ77" i="7"/>
  <c r="AK77" i="7"/>
  <c r="AL77" i="7"/>
  <c r="AM77" i="7"/>
  <c r="AN77" i="7"/>
  <c r="AO77" i="7"/>
  <c r="AP77" i="7"/>
  <c r="AQ77" i="7"/>
  <c r="AR77" i="7"/>
  <c r="AS77" i="7"/>
  <c r="AT77" i="7"/>
  <c r="AU77" i="7"/>
  <c r="AV77" i="7"/>
  <c r="AW77" i="7"/>
  <c r="AX77" i="7"/>
  <c r="AY77" i="7"/>
  <c r="O78" i="7"/>
  <c r="P78" i="7"/>
  <c r="Q78" i="7"/>
  <c r="R78" i="7"/>
  <c r="S78" i="7"/>
  <c r="T78" i="7"/>
  <c r="U78" i="7"/>
  <c r="V78" i="7"/>
  <c r="W78" i="7"/>
  <c r="X78" i="7"/>
  <c r="Y78" i="7"/>
  <c r="Z78" i="7"/>
  <c r="AA78" i="7"/>
  <c r="AB78" i="7"/>
  <c r="AC78" i="7"/>
  <c r="AD78" i="7"/>
  <c r="AE78" i="7"/>
  <c r="AF78" i="7"/>
  <c r="AG78" i="7"/>
  <c r="AH78" i="7"/>
  <c r="AI78" i="7"/>
  <c r="AJ78" i="7"/>
  <c r="AK78" i="7"/>
  <c r="AL78" i="7"/>
  <c r="AM78" i="7"/>
  <c r="AN78" i="7"/>
  <c r="AO78" i="7"/>
  <c r="AP78" i="7"/>
  <c r="AQ78" i="7"/>
  <c r="AR78" i="7"/>
  <c r="AS78" i="7"/>
  <c r="AT78" i="7"/>
  <c r="AU78" i="7"/>
  <c r="AV78" i="7"/>
  <c r="AW78" i="7"/>
  <c r="AX78" i="7"/>
  <c r="AY78" i="7"/>
  <c r="O79" i="7"/>
  <c r="P79" i="7"/>
  <c r="Q79" i="7"/>
  <c r="R79" i="7"/>
  <c r="S79" i="7"/>
  <c r="T79" i="7"/>
  <c r="U79" i="7"/>
  <c r="V79" i="7"/>
  <c r="W79" i="7"/>
  <c r="X79" i="7"/>
  <c r="Y79" i="7"/>
  <c r="Z79" i="7"/>
  <c r="AA79" i="7"/>
  <c r="AB79" i="7"/>
  <c r="AC79" i="7"/>
  <c r="AD79" i="7"/>
  <c r="AE79" i="7"/>
  <c r="AF79" i="7"/>
  <c r="AG79" i="7"/>
  <c r="AH79" i="7"/>
  <c r="AI79" i="7"/>
  <c r="AJ79" i="7"/>
  <c r="AK79" i="7"/>
  <c r="AL79" i="7"/>
  <c r="AM79" i="7"/>
  <c r="AN79" i="7"/>
  <c r="AO79" i="7"/>
  <c r="AP79" i="7"/>
  <c r="AQ79" i="7"/>
  <c r="AR79" i="7"/>
  <c r="AS79" i="7"/>
  <c r="AT79" i="7"/>
  <c r="AU79" i="7"/>
  <c r="AV79" i="7"/>
  <c r="AW79" i="7"/>
  <c r="AX79" i="7"/>
  <c r="AY79" i="7"/>
  <c r="O80" i="7"/>
  <c r="P80" i="7"/>
  <c r="Q80" i="7"/>
  <c r="R80" i="7"/>
  <c r="S80" i="7"/>
  <c r="T80" i="7"/>
  <c r="U80" i="7"/>
  <c r="V80" i="7"/>
  <c r="W80" i="7"/>
  <c r="X80" i="7"/>
  <c r="Y80" i="7"/>
  <c r="Z80" i="7"/>
  <c r="AA80" i="7"/>
  <c r="AB80" i="7"/>
  <c r="AC80" i="7"/>
  <c r="AD80" i="7"/>
  <c r="AE80" i="7"/>
  <c r="AF80" i="7"/>
  <c r="AG80" i="7"/>
  <c r="AH80" i="7"/>
  <c r="AI80" i="7"/>
  <c r="AJ80" i="7"/>
  <c r="AK80" i="7"/>
  <c r="AL80" i="7"/>
  <c r="AM80" i="7"/>
  <c r="AN80" i="7"/>
  <c r="AO80" i="7"/>
  <c r="AP80" i="7"/>
  <c r="AQ80" i="7"/>
  <c r="AR80" i="7"/>
  <c r="AS80" i="7"/>
  <c r="AT80" i="7"/>
  <c r="AU80" i="7"/>
  <c r="AV80" i="7"/>
  <c r="AW80" i="7"/>
  <c r="AX80" i="7"/>
  <c r="AY80" i="7"/>
  <c r="O81" i="7"/>
  <c r="P81" i="7"/>
  <c r="Q81" i="7"/>
  <c r="R81" i="7"/>
  <c r="S81" i="7"/>
  <c r="T81" i="7"/>
  <c r="U81" i="7"/>
  <c r="V81" i="7"/>
  <c r="W81" i="7"/>
  <c r="X81" i="7"/>
  <c r="Y81" i="7"/>
  <c r="Z81" i="7"/>
  <c r="AA81" i="7"/>
  <c r="AB81" i="7"/>
  <c r="AC81" i="7"/>
  <c r="AD81" i="7"/>
  <c r="AE81" i="7"/>
  <c r="AF81" i="7"/>
  <c r="AG81" i="7"/>
  <c r="AH81" i="7"/>
  <c r="AI81" i="7"/>
  <c r="AJ81" i="7"/>
  <c r="AK81" i="7"/>
  <c r="AL81" i="7"/>
  <c r="AM81" i="7"/>
  <c r="AN81" i="7"/>
  <c r="AO81" i="7"/>
  <c r="AP81" i="7"/>
  <c r="AQ81" i="7"/>
  <c r="AR81" i="7"/>
  <c r="AS81" i="7"/>
  <c r="AT81" i="7"/>
  <c r="AU81" i="7"/>
  <c r="AV81" i="7"/>
  <c r="AW81" i="7"/>
  <c r="AX81" i="7"/>
  <c r="AY81" i="7"/>
  <c r="O82" i="7"/>
  <c r="P82" i="7"/>
  <c r="Q82" i="7"/>
  <c r="R82" i="7"/>
  <c r="S82" i="7"/>
  <c r="T82" i="7"/>
  <c r="U82" i="7"/>
  <c r="V82" i="7"/>
  <c r="W82" i="7"/>
  <c r="X82" i="7"/>
  <c r="Y82" i="7"/>
  <c r="Z82" i="7"/>
  <c r="AA82" i="7"/>
  <c r="AB82" i="7"/>
  <c r="AC82" i="7"/>
  <c r="AD82" i="7"/>
  <c r="AE82" i="7"/>
  <c r="AF82" i="7"/>
  <c r="AG82" i="7"/>
  <c r="AH82" i="7"/>
  <c r="AI82" i="7"/>
  <c r="AJ82" i="7"/>
  <c r="AK82" i="7"/>
  <c r="AL82" i="7"/>
  <c r="AM82" i="7"/>
  <c r="AN82" i="7"/>
  <c r="AO82" i="7"/>
  <c r="AP82" i="7"/>
  <c r="AQ82" i="7"/>
  <c r="AR82" i="7"/>
  <c r="AS82" i="7"/>
  <c r="AT82" i="7"/>
  <c r="AU82" i="7"/>
  <c r="AV82" i="7"/>
  <c r="AW82" i="7"/>
  <c r="AX82" i="7"/>
  <c r="AY82" i="7"/>
  <c r="O83" i="7"/>
  <c r="P83" i="7"/>
  <c r="Q83" i="7"/>
  <c r="R83" i="7"/>
  <c r="S83" i="7"/>
  <c r="T83" i="7"/>
  <c r="U83" i="7"/>
  <c r="V83" i="7"/>
  <c r="W83" i="7"/>
  <c r="X83" i="7"/>
  <c r="Y83" i="7"/>
  <c r="Z83" i="7"/>
  <c r="AA83" i="7"/>
  <c r="AB83" i="7"/>
  <c r="AC83" i="7"/>
  <c r="AD83" i="7"/>
  <c r="AE83" i="7"/>
  <c r="AF83" i="7"/>
  <c r="AG83" i="7"/>
  <c r="AH83" i="7"/>
  <c r="AI83" i="7"/>
  <c r="AJ83" i="7"/>
  <c r="AK83" i="7"/>
  <c r="AL83" i="7"/>
  <c r="AM83" i="7"/>
  <c r="AN83" i="7"/>
  <c r="AO83" i="7"/>
  <c r="AP83" i="7"/>
  <c r="AQ83" i="7"/>
  <c r="AR83" i="7"/>
  <c r="AS83" i="7"/>
  <c r="AT83" i="7"/>
  <c r="AU83" i="7"/>
  <c r="AV83" i="7"/>
  <c r="AW83" i="7"/>
  <c r="AX83" i="7"/>
  <c r="AY83" i="7"/>
  <c r="O84" i="7"/>
  <c r="P84" i="7"/>
  <c r="Q84" i="7"/>
  <c r="R84" i="7"/>
  <c r="S84" i="7"/>
  <c r="T84" i="7"/>
  <c r="U84" i="7"/>
  <c r="V84" i="7"/>
  <c r="W84" i="7"/>
  <c r="X84" i="7"/>
  <c r="Y84" i="7"/>
  <c r="Z84" i="7"/>
  <c r="AA84" i="7"/>
  <c r="AB84" i="7"/>
  <c r="AC84" i="7"/>
  <c r="AD84" i="7"/>
  <c r="AE84" i="7"/>
  <c r="AF84" i="7"/>
  <c r="AG84" i="7"/>
  <c r="AH84" i="7"/>
  <c r="AI84" i="7"/>
  <c r="AJ84" i="7"/>
  <c r="AK84" i="7"/>
  <c r="AL84" i="7"/>
  <c r="AM84" i="7"/>
  <c r="AN84" i="7"/>
  <c r="AO84" i="7"/>
  <c r="AP84" i="7"/>
  <c r="AQ84" i="7"/>
  <c r="AR84" i="7"/>
  <c r="AS84" i="7"/>
  <c r="AT84" i="7"/>
  <c r="AU84" i="7"/>
  <c r="AV84" i="7"/>
  <c r="AW84" i="7"/>
  <c r="AX84" i="7"/>
  <c r="AY84" i="7"/>
  <c r="O85" i="7"/>
  <c r="P85" i="7"/>
  <c r="Q85" i="7"/>
  <c r="R85" i="7"/>
  <c r="S85" i="7"/>
  <c r="T85" i="7"/>
  <c r="U85" i="7"/>
  <c r="V85" i="7"/>
  <c r="W85" i="7"/>
  <c r="X85" i="7"/>
  <c r="Y85" i="7"/>
  <c r="Z85" i="7"/>
  <c r="AA85" i="7"/>
  <c r="AB85" i="7"/>
  <c r="AC85" i="7"/>
  <c r="AD85" i="7"/>
  <c r="AE85" i="7"/>
  <c r="AF85" i="7"/>
  <c r="AG85" i="7"/>
  <c r="AH85" i="7"/>
  <c r="AI85" i="7"/>
  <c r="AJ85" i="7"/>
  <c r="AK85" i="7"/>
  <c r="AL85" i="7"/>
  <c r="AM85" i="7"/>
  <c r="AN85" i="7"/>
  <c r="AO85" i="7"/>
  <c r="AP85" i="7"/>
  <c r="AQ85" i="7"/>
  <c r="AR85" i="7"/>
  <c r="AS85" i="7"/>
  <c r="AT85" i="7"/>
  <c r="AU85" i="7"/>
  <c r="AV85" i="7"/>
  <c r="AW85" i="7"/>
  <c r="AX85" i="7"/>
  <c r="AY85" i="7"/>
  <c r="O86" i="7"/>
  <c r="P86" i="7"/>
  <c r="Q86" i="7"/>
  <c r="R86" i="7"/>
  <c r="S86" i="7"/>
  <c r="T86" i="7"/>
  <c r="U86" i="7"/>
  <c r="V86" i="7"/>
  <c r="W86" i="7"/>
  <c r="X86" i="7"/>
  <c r="Y86" i="7"/>
  <c r="Z86" i="7"/>
  <c r="AA86" i="7"/>
  <c r="AB86" i="7"/>
  <c r="AC86" i="7"/>
  <c r="AD86" i="7"/>
  <c r="AE86" i="7"/>
  <c r="AF86" i="7"/>
  <c r="AG86" i="7"/>
  <c r="AH86" i="7"/>
  <c r="AI86" i="7"/>
  <c r="AJ86" i="7"/>
  <c r="AK86" i="7"/>
  <c r="AL86" i="7"/>
  <c r="AM86" i="7"/>
  <c r="AN86" i="7"/>
  <c r="AO86" i="7"/>
  <c r="AP86" i="7"/>
  <c r="AQ86" i="7"/>
  <c r="AR86" i="7"/>
  <c r="AS86" i="7"/>
  <c r="AT86" i="7"/>
  <c r="AU86" i="7"/>
  <c r="AV86" i="7"/>
  <c r="AW86" i="7"/>
  <c r="AX86" i="7"/>
  <c r="AY86" i="7"/>
  <c r="O87" i="7"/>
  <c r="P87" i="7"/>
  <c r="Q87" i="7"/>
  <c r="R87" i="7"/>
  <c r="S87" i="7"/>
  <c r="T87" i="7"/>
  <c r="U87" i="7"/>
  <c r="V87" i="7"/>
  <c r="W87" i="7"/>
  <c r="X87" i="7"/>
  <c r="Y87" i="7"/>
  <c r="Z87" i="7"/>
  <c r="AA87" i="7"/>
  <c r="AB87" i="7"/>
  <c r="AC87" i="7"/>
  <c r="AD87" i="7"/>
  <c r="AE87" i="7"/>
  <c r="AF87" i="7"/>
  <c r="AG87" i="7"/>
  <c r="AH87" i="7"/>
  <c r="AI87" i="7"/>
  <c r="AJ87" i="7"/>
  <c r="AK87" i="7"/>
  <c r="AL87" i="7"/>
  <c r="AM87" i="7"/>
  <c r="AN87" i="7"/>
  <c r="AO87" i="7"/>
  <c r="AP87" i="7"/>
  <c r="AQ87" i="7"/>
  <c r="AR87" i="7"/>
  <c r="AS87" i="7"/>
  <c r="AT87" i="7"/>
  <c r="AU87" i="7"/>
  <c r="AV87" i="7"/>
  <c r="AW87" i="7"/>
  <c r="AX87" i="7"/>
  <c r="AY87" i="7"/>
  <c r="O88" i="7"/>
  <c r="P88" i="7"/>
  <c r="Q88" i="7"/>
  <c r="R88" i="7"/>
  <c r="S88" i="7"/>
  <c r="T88" i="7"/>
  <c r="U88" i="7"/>
  <c r="V88" i="7"/>
  <c r="W88" i="7"/>
  <c r="X88" i="7"/>
  <c r="Y88" i="7"/>
  <c r="Z88" i="7"/>
  <c r="AA88" i="7"/>
  <c r="AB88" i="7"/>
  <c r="AC88" i="7"/>
  <c r="AD88" i="7"/>
  <c r="AE88" i="7"/>
  <c r="AF88" i="7"/>
  <c r="AG88" i="7"/>
  <c r="AH88" i="7"/>
  <c r="AI88" i="7"/>
  <c r="AJ88" i="7"/>
  <c r="AK88" i="7"/>
  <c r="AL88" i="7"/>
  <c r="AM88" i="7"/>
  <c r="AN88" i="7"/>
  <c r="AO88" i="7"/>
  <c r="AP88" i="7"/>
  <c r="AQ88" i="7"/>
  <c r="AR88" i="7"/>
  <c r="AS88" i="7"/>
  <c r="AT88" i="7"/>
  <c r="AU88" i="7"/>
  <c r="AV88" i="7"/>
  <c r="AW88" i="7"/>
  <c r="AX88" i="7"/>
  <c r="AY88" i="7"/>
  <c r="O89" i="7"/>
  <c r="P89" i="7"/>
  <c r="Q89" i="7"/>
  <c r="R89" i="7"/>
  <c r="S89" i="7"/>
  <c r="T89" i="7"/>
  <c r="U89" i="7"/>
  <c r="V89" i="7"/>
  <c r="W89" i="7"/>
  <c r="X89" i="7"/>
  <c r="Y89" i="7"/>
  <c r="Z89" i="7"/>
  <c r="AA89" i="7"/>
  <c r="AB89" i="7"/>
  <c r="AC89" i="7"/>
  <c r="AD89" i="7"/>
  <c r="AE89" i="7"/>
  <c r="AF89" i="7"/>
  <c r="AG89" i="7"/>
  <c r="AH89" i="7"/>
  <c r="AI89" i="7"/>
  <c r="AJ89" i="7"/>
  <c r="AK89" i="7"/>
  <c r="AL89" i="7"/>
  <c r="AM89" i="7"/>
  <c r="AN89" i="7"/>
  <c r="AO89" i="7"/>
  <c r="AP89" i="7"/>
  <c r="AQ89" i="7"/>
  <c r="AR89" i="7"/>
  <c r="AS89" i="7"/>
  <c r="AT89" i="7"/>
  <c r="AU89" i="7"/>
  <c r="AV89" i="7"/>
  <c r="AW89" i="7"/>
  <c r="AX89" i="7"/>
  <c r="AY89" i="7"/>
  <c r="O90" i="7"/>
  <c r="P90" i="7"/>
  <c r="Q90" i="7"/>
  <c r="R90" i="7"/>
  <c r="S90" i="7"/>
  <c r="T90" i="7"/>
  <c r="U90" i="7"/>
  <c r="V90" i="7"/>
  <c r="W90" i="7"/>
  <c r="X90" i="7"/>
  <c r="Y90" i="7"/>
  <c r="Z90" i="7"/>
  <c r="AA90" i="7"/>
  <c r="AB90" i="7"/>
  <c r="AC90" i="7"/>
  <c r="AD90" i="7"/>
  <c r="AE90" i="7"/>
  <c r="AF90" i="7"/>
  <c r="AG90" i="7"/>
  <c r="AH90" i="7"/>
  <c r="AI90" i="7"/>
  <c r="AJ90" i="7"/>
  <c r="AK90" i="7"/>
  <c r="AL90" i="7"/>
  <c r="AM90" i="7"/>
  <c r="AN90" i="7"/>
  <c r="AO90" i="7"/>
  <c r="AP90" i="7"/>
  <c r="AQ90" i="7"/>
  <c r="AR90" i="7"/>
  <c r="AS90" i="7"/>
  <c r="AT90" i="7"/>
  <c r="AU90" i="7"/>
  <c r="AV90" i="7"/>
  <c r="AW90" i="7"/>
  <c r="AX90" i="7"/>
  <c r="AY90" i="7"/>
  <c r="O91" i="7"/>
  <c r="P91" i="7"/>
  <c r="Q91" i="7"/>
  <c r="R91" i="7"/>
  <c r="S91" i="7"/>
  <c r="T91" i="7"/>
  <c r="U91" i="7"/>
  <c r="V91" i="7"/>
  <c r="W91" i="7"/>
  <c r="X91" i="7"/>
  <c r="Y91" i="7"/>
  <c r="Z91" i="7"/>
  <c r="AA91" i="7"/>
  <c r="AB91" i="7"/>
  <c r="AC91" i="7"/>
  <c r="AD91" i="7"/>
  <c r="AE91" i="7"/>
  <c r="AF91" i="7"/>
  <c r="AG91" i="7"/>
  <c r="AH91" i="7"/>
  <c r="AI91" i="7"/>
  <c r="AJ91" i="7"/>
  <c r="AK91" i="7"/>
  <c r="AL91" i="7"/>
  <c r="AM91" i="7"/>
  <c r="AN91" i="7"/>
  <c r="AO91" i="7"/>
  <c r="AP91" i="7"/>
  <c r="AQ91" i="7"/>
  <c r="AR91" i="7"/>
  <c r="AS91" i="7"/>
  <c r="AT91" i="7"/>
  <c r="AU91" i="7"/>
  <c r="AV91" i="7"/>
  <c r="AW91" i="7"/>
  <c r="AX91" i="7"/>
  <c r="AY91" i="7"/>
  <c r="O92" i="7"/>
  <c r="P92" i="7"/>
  <c r="Q92" i="7"/>
  <c r="R92" i="7"/>
  <c r="S92" i="7"/>
  <c r="T92" i="7"/>
  <c r="U92" i="7"/>
  <c r="V92" i="7"/>
  <c r="W92" i="7"/>
  <c r="X92" i="7"/>
  <c r="Y92" i="7"/>
  <c r="Z92" i="7"/>
  <c r="AA92" i="7"/>
  <c r="AB92" i="7"/>
  <c r="AC92" i="7"/>
  <c r="AD92" i="7"/>
  <c r="AE92" i="7"/>
  <c r="AF92" i="7"/>
  <c r="AG92" i="7"/>
  <c r="AH92" i="7"/>
  <c r="AI92" i="7"/>
  <c r="AJ92" i="7"/>
  <c r="AK92" i="7"/>
  <c r="AL92" i="7"/>
  <c r="AM92" i="7"/>
  <c r="AN92" i="7"/>
  <c r="AO92" i="7"/>
  <c r="AP92" i="7"/>
  <c r="AQ92" i="7"/>
  <c r="AR92" i="7"/>
  <c r="AS92" i="7"/>
  <c r="AT92" i="7"/>
  <c r="AU92" i="7"/>
  <c r="AV92" i="7"/>
  <c r="AW92" i="7"/>
  <c r="AX92" i="7"/>
  <c r="AY92" i="7"/>
  <c r="O93" i="7"/>
  <c r="P93" i="7"/>
  <c r="Q93" i="7"/>
  <c r="R93" i="7"/>
  <c r="S93" i="7"/>
  <c r="T93" i="7"/>
  <c r="U93" i="7"/>
  <c r="V93" i="7"/>
  <c r="W93" i="7"/>
  <c r="X93" i="7"/>
  <c r="Y93" i="7"/>
  <c r="Z93" i="7"/>
  <c r="AA93" i="7"/>
  <c r="AB93" i="7"/>
  <c r="AC93" i="7"/>
  <c r="AD93" i="7"/>
  <c r="AE93" i="7"/>
  <c r="AF93" i="7"/>
  <c r="AG93" i="7"/>
  <c r="AH93" i="7"/>
  <c r="AI93" i="7"/>
  <c r="AJ93" i="7"/>
  <c r="AK93" i="7"/>
  <c r="AL93" i="7"/>
  <c r="AM93" i="7"/>
  <c r="AN93" i="7"/>
  <c r="AO93" i="7"/>
  <c r="AP93" i="7"/>
  <c r="AQ93" i="7"/>
  <c r="AR93" i="7"/>
  <c r="AS93" i="7"/>
  <c r="AT93" i="7"/>
  <c r="AU93" i="7"/>
  <c r="AV93" i="7"/>
  <c r="AW93" i="7"/>
  <c r="AX93" i="7"/>
  <c r="AY93" i="7"/>
  <c r="O94" i="7"/>
  <c r="P94" i="7"/>
  <c r="Q94" i="7"/>
  <c r="R94" i="7"/>
  <c r="S94" i="7"/>
  <c r="T94" i="7"/>
  <c r="U94" i="7"/>
  <c r="V94" i="7"/>
  <c r="W94" i="7"/>
  <c r="X94" i="7"/>
  <c r="Y94" i="7"/>
  <c r="Z94" i="7"/>
  <c r="AA94" i="7"/>
  <c r="AB94" i="7"/>
  <c r="AC94" i="7"/>
  <c r="AD94" i="7"/>
  <c r="AE94" i="7"/>
  <c r="AF94" i="7"/>
  <c r="AG94" i="7"/>
  <c r="AH94" i="7"/>
  <c r="AI94" i="7"/>
  <c r="AJ94" i="7"/>
  <c r="AK94" i="7"/>
  <c r="AL94" i="7"/>
  <c r="AM94" i="7"/>
  <c r="AN94" i="7"/>
  <c r="AO94" i="7"/>
  <c r="AP94" i="7"/>
  <c r="AQ94" i="7"/>
  <c r="AR94" i="7"/>
  <c r="AS94" i="7"/>
  <c r="AT94" i="7"/>
  <c r="AU94" i="7"/>
  <c r="AV94" i="7"/>
  <c r="AW94" i="7"/>
  <c r="AX94" i="7"/>
  <c r="AY94" i="7"/>
  <c r="O95" i="7"/>
  <c r="P95" i="7"/>
  <c r="Q95" i="7"/>
  <c r="R95" i="7"/>
  <c r="S95" i="7"/>
  <c r="T95" i="7"/>
  <c r="U95" i="7"/>
  <c r="V95" i="7"/>
  <c r="W95" i="7"/>
  <c r="X95" i="7"/>
  <c r="Y95" i="7"/>
  <c r="Z95" i="7"/>
  <c r="AA95" i="7"/>
  <c r="AB95" i="7"/>
  <c r="AC95" i="7"/>
  <c r="AD95" i="7"/>
  <c r="AE95" i="7"/>
  <c r="AF95" i="7"/>
  <c r="AG95" i="7"/>
  <c r="AH95" i="7"/>
  <c r="AI95" i="7"/>
  <c r="AJ95" i="7"/>
  <c r="AK95" i="7"/>
  <c r="AL95" i="7"/>
  <c r="AM95" i="7"/>
  <c r="AN95" i="7"/>
  <c r="AO95" i="7"/>
  <c r="AP95" i="7"/>
  <c r="AQ95" i="7"/>
  <c r="AR95" i="7"/>
  <c r="AS95" i="7"/>
  <c r="AT95" i="7"/>
  <c r="AU95" i="7"/>
  <c r="AV95" i="7"/>
  <c r="AW95" i="7"/>
  <c r="AX95" i="7"/>
  <c r="AY95" i="7"/>
  <c r="O96" i="7"/>
  <c r="P96" i="7"/>
  <c r="Q96" i="7"/>
  <c r="R96" i="7"/>
  <c r="S96" i="7"/>
  <c r="T96" i="7"/>
  <c r="U96" i="7"/>
  <c r="V96" i="7"/>
  <c r="W96" i="7"/>
  <c r="X96" i="7"/>
  <c r="Y96" i="7"/>
  <c r="Z96" i="7"/>
  <c r="AA96" i="7"/>
  <c r="AB96" i="7"/>
  <c r="AC96" i="7"/>
  <c r="AD96" i="7"/>
  <c r="AE96" i="7"/>
  <c r="AF96" i="7"/>
  <c r="AG96" i="7"/>
  <c r="AH96" i="7"/>
  <c r="AI96" i="7"/>
  <c r="AJ96" i="7"/>
  <c r="AK96" i="7"/>
  <c r="AL96" i="7"/>
  <c r="AM96" i="7"/>
  <c r="AN96" i="7"/>
  <c r="AO96" i="7"/>
  <c r="AP96" i="7"/>
  <c r="AQ96" i="7"/>
  <c r="AR96" i="7"/>
  <c r="AS96" i="7"/>
  <c r="AT96" i="7"/>
  <c r="AU96" i="7"/>
  <c r="AV96" i="7"/>
  <c r="AW96" i="7"/>
  <c r="AX96" i="7"/>
  <c r="AY96" i="7"/>
  <c r="O97" i="7"/>
  <c r="P97" i="7"/>
  <c r="Q97" i="7"/>
  <c r="R97" i="7"/>
  <c r="S97" i="7"/>
  <c r="T97" i="7"/>
  <c r="U97" i="7"/>
  <c r="V97" i="7"/>
  <c r="W97" i="7"/>
  <c r="X97" i="7"/>
  <c r="Y97" i="7"/>
  <c r="Z97" i="7"/>
  <c r="AA97" i="7"/>
  <c r="AB97" i="7"/>
  <c r="AC97" i="7"/>
  <c r="AD97" i="7"/>
  <c r="AE97" i="7"/>
  <c r="AF97" i="7"/>
  <c r="AG97" i="7"/>
  <c r="AH97" i="7"/>
  <c r="AI97" i="7"/>
  <c r="AJ97" i="7"/>
  <c r="AK97" i="7"/>
  <c r="AL97" i="7"/>
  <c r="AM97" i="7"/>
  <c r="AN97" i="7"/>
  <c r="AO97" i="7"/>
  <c r="AP97" i="7"/>
  <c r="AQ97" i="7"/>
  <c r="AR97" i="7"/>
  <c r="AS97" i="7"/>
  <c r="AT97" i="7"/>
  <c r="AU97" i="7"/>
  <c r="AV97" i="7"/>
  <c r="AW97" i="7"/>
  <c r="AX97" i="7"/>
  <c r="AY97" i="7"/>
  <c r="O98" i="7"/>
  <c r="P98" i="7"/>
  <c r="Q98" i="7"/>
  <c r="R98" i="7"/>
  <c r="S98" i="7"/>
  <c r="T98" i="7"/>
  <c r="U98" i="7"/>
  <c r="V98" i="7"/>
  <c r="W98" i="7"/>
  <c r="X98" i="7"/>
  <c r="Y98" i="7"/>
  <c r="Z98" i="7"/>
  <c r="AA98" i="7"/>
  <c r="AB98" i="7"/>
  <c r="AC98" i="7"/>
  <c r="AD98" i="7"/>
  <c r="AE98" i="7"/>
  <c r="AF98" i="7"/>
  <c r="AG98" i="7"/>
  <c r="AH98" i="7"/>
  <c r="AI98" i="7"/>
  <c r="AJ98" i="7"/>
  <c r="AK98" i="7"/>
  <c r="AL98" i="7"/>
  <c r="AM98" i="7"/>
  <c r="AN98" i="7"/>
  <c r="AO98" i="7"/>
  <c r="AP98" i="7"/>
  <c r="AQ98" i="7"/>
  <c r="AR98" i="7"/>
  <c r="AS98" i="7"/>
  <c r="AT98" i="7"/>
  <c r="AU98" i="7"/>
  <c r="AV98" i="7"/>
  <c r="AW98" i="7"/>
  <c r="AX98" i="7"/>
  <c r="AY98" i="7"/>
  <c r="O99" i="7"/>
  <c r="P99" i="7"/>
  <c r="Q99" i="7"/>
  <c r="R99" i="7"/>
  <c r="S99" i="7"/>
  <c r="T99" i="7"/>
  <c r="U99" i="7"/>
  <c r="V99" i="7"/>
  <c r="W99" i="7"/>
  <c r="X99" i="7"/>
  <c r="Y99" i="7"/>
  <c r="Z99" i="7"/>
  <c r="AA99" i="7"/>
  <c r="AB99" i="7"/>
  <c r="AC99" i="7"/>
  <c r="AD99" i="7"/>
  <c r="AE99" i="7"/>
  <c r="AF99" i="7"/>
  <c r="AG99" i="7"/>
  <c r="AH99" i="7"/>
  <c r="AI99" i="7"/>
  <c r="AJ99" i="7"/>
  <c r="AK99" i="7"/>
  <c r="AL99" i="7"/>
  <c r="AM99" i="7"/>
  <c r="AN99" i="7"/>
  <c r="AO99" i="7"/>
  <c r="AP99" i="7"/>
  <c r="AQ99" i="7"/>
  <c r="AR99" i="7"/>
  <c r="AS99" i="7"/>
  <c r="AT99" i="7"/>
  <c r="AU99" i="7"/>
  <c r="AV99" i="7"/>
  <c r="AW99" i="7"/>
  <c r="AX99" i="7"/>
  <c r="AY99" i="7"/>
  <c r="O100" i="7"/>
  <c r="P100" i="7"/>
  <c r="Q100" i="7"/>
  <c r="R100" i="7"/>
  <c r="S100" i="7"/>
  <c r="T100" i="7"/>
  <c r="U100" i="7"/>
  <c r="V100" i="7"/>
  <c r="W100" i="7"/>
  <c r="X100" i="7"/>
  <c r="Y100" i="7"/>
  <c r="Z100" i="7"/>
  <c r="AA100" i="7"/>
  <c r="AB100" i="7"/>
  <c r="AC100" i="7"/>
  <c r="AD100" i="7"/>
  <c r="AE100" i="7"/>
  <c r="AF100" i="7"/>
  <c r="AG100" i="7"/>
  <c r="AH100" i="7"/>
  <c r="AI100" i="7"/>
  <c r="AJ100" i="7"/>
  <c r="AK100" i="7"/>
  <c r="AL100" i="7"/>
  <c r="AM100" i="7"/>
  <c r="AN100" i="7"/>
  <c r="AO100" i="7"/>
  <c r="AP100" i="7"/>
  <c r="AQ100" i="7"/>
  <c r="AR100" i="7"/>
  <c r="AS100" i="7"/>
  <c r="AT100" i="7"/>
  <c r="AU100" i="7"/>
  <c r="AV100" i="7"/>
  <c r="AW100" i="7"/>
  <c r="AX100" i="7"/>
  <c r="AY100" i="7"/>
  <c r="O101" i="7"/>
  <c r="P101" i="7"/>
  <c r="Q101" i="7"/>
  <c r="R101" i="7"/>
  <c r="S101" i="7"/>
  <c r="T101" i="7"/>
  <c r="U101" i="7"/>
  <c r="V101" i="7"/>
  <c r="W101" i="7"/>
  <c r="X101" i="7"/>
  <c r="Y101" i="7"/>
  <c r="Z101" i="7"/>
  <c r="AA101" i="7"/>
  <c r="AB101" i="7"/>
  <c r="AC101" i="7"/>
  <c r="AD101" i="7"/>
  <c r="AE101" i="7"/>
  <c r="AF101" i="7"/>
  <c r="AG101" i="7"/>
  <c r="AH101" i="7"/>
  <c r="AI101" i="7"/>
  <c r="AJ101" i="7"/>
  <c r="AK101" i="7"/>
  <c r="AL101" i="7"/>
  <c r="AM101" i="7"/>
  <c r="AN101" i="7"/>
  <c r="AO101" i="7"/>
  <c r="AP101" i="7"/>
  <c r="AQ101" i="7"/>
  <c r="AR101" i="7"/>
  <c r="AS101" i="7"/>
  <c r="AT101" i="7"/>
  <c r="AU101" i="7"/>
  <c r="AV101" i="7"/>
  <c r="AW101" i="7"/>
  <c r="AX101" i="7"/>
  <c r="AY101" i="7"/>
  <c r="O102" i="7"/>
  <c r="P102" i="7"/>
  <c r="Q102" i="7"/>
  <c r="R102" i="7"/>
  <c r="S102" i="7"/>
  <c r="T102" i="7"/>
  <c r="U102" i="7"/>
  <c r="V102" i="7"/>
  <c r="W102" i="7"/>
  <c r="X102" i="7"/>
  <c r="Y102" i="7"/>
  <c r="Z102" i="7"/>
  <c r="AA102" i="7"/>
  <c r="AB102" i="7"/>
  <c r="AC102" i="7"/>
  <c r="AD102" i="7"/>
  <c r="AE102" i="7"/>
  <c r="AF102" i="7"/>
  <c r="AG102" i="7"/>
  <c r="AH102" i="7"/>
  <c r="AI102" i="7"/>
  <c r="AJ102" i="7"/>
  <c r="AK102" i="7"/>
  <c r="AL102" i="7"/>
  <c r="AM102" i="7"/>
  <c r="AN102" i="7"/>
  <c r="AO102" i="7"/>
  <c r="AP102" i="7"/>
  <c r="AQ102" i="7"/>
  <c r="AR102" i="7"/>
  <c r="AS102" i="7"/>
  <c r="AT102" i="7"/>
  <c r="AU102" i="7"/>
  <c r="AV102" i="7"/>
  <c r="AW102" i="7"/>
  <c r="AX102" i="7"/>
  <c r="AY102" i="7"/>
  <c r="O103" i="7"/>
  <c r="P103" i="7"/>
  <c r="Q103" i="7"/>
  <c r="R103" i="7"/>
  <c r="S103" i="7"/>
  <c r="T103" i="7"/>
  <c r="U103" i="7"/>
  <c r="V103" i="7"/>
  <c r="W103" i="7"/>
  <c r="X103" i="7"/>
  <c r="Y103" i="7"/>
  <c r="Z103" i="7"/>
  <c r="AA103" i="7"/>
  <c r="AB103" i="7"/>
  <c r="AC103" i="7"/>
  <c r="AD103" i="7"/>
  <c r="AE103" i="7"/>
  <c r="AF103" i="7"/>
  <c r="AG103" i="7"/>
  <c r="AH103" i="7"/>
  <c r="AI103" i="7"/>
  <c r="AJ103" i="7"/>
  <c r="AK103" i="7"/>
  <c r="AL103" i="7"/>
  <c r="AM103" i="7"/>
  <c r="AN103" i="7"/>
  <c r="AO103" i="7"/>
  <c r="AP103" i="7"/>
  <c r="AQ103" i="7"/>
  <c r="AR103" i="7"/>
  <c r="AS103" i="7"/>
  <c r="AT103" i="7"/>
  <c r="AU103" i="7"/>
  <c r="AV103" i="7"/>
  <c r="AW103" i="7"/>
  <c r="AX103" i="7"/>
  <c r="AY103" i="7"/>
  <c r="O104" i="7"/>
  <c r="P104" i="7"/>
  <c r="Q104" i="7"/>
  <c r="R104" i="7"/>
  <c r="S104" i="7"/>
  <c r="T104" i="7"/>
  <c r="U104" i="7"/>
  <c r="V104" i="7"/>
  <c r="W104" i="7"/>
  <c r="X104" i="7"/>
  <c r="Y104" i="7"/>
  <c r="Z104" i="7"/>
  <c r="AA104" i="7"/>
  <c r="AB104" i="7"/>
  <c r="AC104" i="7"/>
  <c r="AD104" i="7"/>
  <c r="AE104" i="7"/>
  <c r="AF104" i="7"/>
  <c r="AG104" i="7"/>
  <c r="AH104" i="7"/>
  <c r="AI104" i="7"/>
  <c r="AJ104" i="7"/>
  <c r="AK104" i="7"/>
  <c r="AL104" i="7"/>
  <c r="AM104" i="7"/>
  <c r="AN104" i="7"/>
  <c r="AO104" i="7"/>
  <c r="AP104" i="7"/>
  <c r="AQ104" i="7"/>
  <c r="AR104" i="7"/>
  <c r="AS104" i="7"/>
  <c r="AT104" i="7"/>
  <c r="AU104" i="7"/>
  <c r="AV104" i="7"/>
  <c r="AW104" i="7"/>
  <c r="AX104" i="7"/>
  <c r="AY104" i="7"/>
  <c r="O105" i="7"/>
  <c r="P105" i="7"/>
  <c r="Q105" i="7"/>
  <c r="R105" i="7"/>
  <c r="S105" i="7"/>
  <c r="T105" i="7"/>
  <c r="U105" i="7"/>
  <c r="V105" i="7"/>
  <c r="W105" i="7"/>
  <c r="X105" i="7"/>
  <c r="Y105" i="7"/>
  <c r="Z105" i="7"/>
  <c r="AA105" i="7"/>
  <c r="AB105" i="7"/>
  <c r="AC105" i="7"/>
  <c r="AD105" i="7"/>
  <c r="AE105" i="7"/>
  <c r="AF105" i="7"/>
  <c r="AG105" i="7"/>
  <c r="AH105" i="7"/>
  <c r="AI105" i="7"/>
  <c r="AJ105" i="7"/>
  <c r="AK105" i="7"/>
  <c r="AL105" i="7"/>
  <c r="AM105" i="7"/>
  <c r="AN105" i="7"/>
  <c r="AO105" i="7"/>
  <c r="AP105" i="7"/>
  <c r="AQ105" i="7"/>
  <c r="AR105" i="7"/>
  <c r="AS105" i="7"/>
  <c r="AT105" i="7"/>
  <c r="AU105" i="7"/>
  <c r="AV105" i="7"/>
  <c r="AW105" i="7"/>
  <c r="AX105" i="7"/>
  <c r="AY105" i="7"/>
  <c r="O106" i="7"/>
  <c r="P106" i="7"/>
  <c r="Q106" i="7"/>
  <c r="R106" i="7"/>
  <c r="S106" i="7"/>
  <c r="T106" i="7"/>
  <c r="U106" i="7"/>
  <c r="V106" i="7"/>
  <c r="W106" i="7"/>
  <c r="X106" i="7"/>
  <c r="Y106" i="7"/>
  <c r="Z106" i="7"/>
  <c r="AA106" i="7"/>
  <c r="AB106" i="7"/>
  <c r="AC106" i="7"/>
  <c r="AD106" i="7"/>
  <c r="AE106" i="7"/>
  <c r="AF106" i="7"/>
  <c r="AG106" i="7"/>
  <c r="AH106" i="7"/>
  <c r="AI106" i="7"/>
  <c r="AJ106" i="7"/>
  <c r="AK106" i="7"/>
  <c r="AL106" i="7"/>
  <c r="AM106" i="7"/>
  <c r="AN106" i="7"/>
  <c r="AO106" i="7"/>
  <c r="AP106" i="7"/>
  <c r="AQ106" i="7"/>
  <c r="AR106" i="7"/>
  <c r="AS106" i="7"/>
  <c r="AT106" i="7"/>
  <c r="AU106" i="7"/>
  <c r="AV106" i="7"/>
  <c r="AW106" i="7"/>
  <c r="AX106" i="7"/>
  <c r="AY106" i="7"/>
  <c r="O107" i="7"/>
  <c r="P107" i="7"/>
  <c r="Q107" i="7"/>
  <c r="R107" i="7"/>
  <c r="S107" i="7"/>
  <c r="T107" i="7"/>
  <c r="U107" i="7"/>
  <c r="V107" i="7"/>
  <c r="W107" i="7"/>
  <c r="X107" i="7"/>
  <c r="Y107" i="7"/>
  <c r="Z107" i="7"/>
  <c r="AA107" i="7"/>
  <c r="AB107" i="7"/>
  <c r="AC107" i="7"/>
  <c r="AD107" i="7"/>
  <c r="AE107" i="7"/>
  <c r="AF107" i="7"/>
  <c r="AG107" i="7"/>
  <c r="AH107" i="7"/>
  <c r="AI107" i="7"/>
  <c r="AJ107" i="7"/>
  <c r="AK107" i="7"/>
  <c r="AL107" i="7"/>
  <c r="AM107" i="7"/>
  <c r="AN107" i="7"/>
  <c r="AO107" i="7"/>
  <c r="AP107" i="7"/>
  <c r="AQ107" i="7"/>
  <c r="AR107" i="7"/>
  <c r="AS107" i="7"/>
  <c r="AT107" i="7"/>
  <c r="AU107" i="7"/>
  <c r="AV107" i="7"/>
  <c r="AW107" i="7"/>
  <c r="AX107" i="7"/>
  <c r="AY107" i="7"/>
  <c r="O108" i="7"/>
  <c r="P108" i="7"/>
  <c r="Q108" i="7"/>
  <c r="R108" i="7"/>
  <c r="S108" i="7"/>
  <c r="T108" i="7"/>
  <c r="U108" i="7"/>
  <c r="V108" i="7"/>
  <c r="W108" i="7"/>
  <c r="X108" i="7"/>
  <c r="Y108" i="7"/>
  <c r="Z108" i="7"/>
  <c r="AA108" i="7"/>
  <c r="AB108" i="7"/>
  <c r="AC108" i="7"/>
  <c r="AD108" i="7"/>
  <c r="AE108" i="7"/>
  <c r="AF108" i="7"/>
  <c r="AG108" i="7"/>
  <c r="AH108" i="7"/>
  <c r="AI108" i="7"/>
  <c r="AJ108" i="7"/>
  <c r="AK108" i="7"/>
  <c r="AL108" i="7"/>
  <c r="AM108" i="7"/>
  <c r="AN108" i="7"/>
  <c r="AO108" i="7"/>
  <c r="AP108" i="7"/>
  <c r="AQ108" i="7"/>
  <c r="AR108" i="7"/>
  <c r="AS108" i="7"/>
  <c r="AT108" i="7"/>
  <c r="AU108" i="7"/>
  <c r="AV108" i="7"/>
  <c r="AW108" i="7"/>
  <c r="AX108" i="7"/>
  <c r="AY108" i="7"/>
  <c r="O109" i="7"/>
  <c r="P109" i="7"/>
  <c r="Q109" i="7"/>
  <c r="R109" i="7"/>
  <c r="S109" i="7"/>
  <c r="T109" i="7"/>
  <c r="U109" i="7"/>
  <c r="V109" i="7"/>
  <c r="W109" i="7"/>
  <c r="X109" i="7"/>
  <c r="Y109" i="7"/>
  <c r="Z109" i="7"/>
  <c r="AA109" i="7"/>
  <c r="AB109" i="7"/>
  <c r="AC109" i="7"/>
  <c r="AD109" i="7"/>
  <c r="AE109" i="7"/>
  <c r="AF109" i="7"/>
  <c r="AG109" i="7"/>
  <c r="AH109" i="7"/>
  <c r="AI109" i="7"/>
  <c r="AJ109" i="7"/>
  <c r="AK109" i="7"/>
  <c r="AL109" i="7"/>
  <c r="AM109" i="7"/>
  <c r="AN109" i="7"/>
  <c r="AO109" i="7"/>
  <c r="AP109" i="7"/>
  <c r="AQ109" i="7"/>
  <c r="AR109" i="7"/>
  <c r="AS109" i="7"/>
  <c r="AT109" i="7"/>
  <c r="AU109" i="7"/>
  <c r="AV109" i="7"/>
  <c r="AW109" i="7"/>
  <c r="AX109" i="7"/>
  <c r="AY109" i="7"/>
  <c r="O110" i="7"/>
  <c r="P110" i="7"/>
  <c r="Q110" i="7"/>
  <c r="R110" i="7"/>
  <c r="S110" i="7"/>
  <c r="T110" i="7"/>
  <c r="U110" i="7"/>
  <c r="V110" i="7"/>
  <c r="W110" i="7"/>
  <c r="X110" i="7"/>
  <c r="Y110" i="7"/>
  <c r="Z110" i="7"/>
  <c r="AA110" i="7"/>
  <c r="AB110" i="7"/>
  <c r="AC110" i="7"/>
  <c r="AD110" i="7"/>
  <c r="AE110" i="7"/>
  <c r="AF110" i="7"/>
  <c r="AG110" i="7"/>
  <c r="AH110" i="7"/>
  <c r="AI110" i="7"/>
  <c r="AJ110" i="7"/>
  <c r="AK110" i="7"/>
  <c r="AL110" i="7"/>
  <c r="AM110" i="7"/>
  <c r="AN110" i="7"/>
  <c r="AO110" i="7"/>
  <c r="AP110" i="7"/>
  <c r="AQ110" i="7"/>
  <c r="AR110" i="7"/>
  <c r="AS110" i="7"/>
  <c r="AT110" i="7"/>
  <c r="AU110" i="7"/>
  <c r="AV110" i="7"/>
  <c r="AW110" i="7"/>
  <c r="AX110" i="7"/>
  <c r="AY110" i="7"/>
  <c r="O111" i="7"/>
  <c r="P111" i="7"/>
  <c r="Q111" i="7"/>
  <c r="R111" i="7"/>
  <c r="S111" i="7"/>
  <c r="T111" i="7"/>
  <c r="U111" i="7"/>
  <c r="V111" i="7"/>
  <c r="W111" i="7"/>
  <c r="X111" i="7"/>
  <c r="Y111" i="7"/>
  <c r="Z111" i="7"/>
  <c r="AA111" i="7"/>
  <c r="AB111" i="7"/>
  <c r="AC111" i="7"/>
  <c r="AD111" i="7"/>
  <c r="AE111" i="7"/>
  <c r="AF111" i="7"/>
  <c r="AG111" i="7"/>
  <c r="AH111" i="7"/>
  <c r="AI111" i="7"/>
  <c r="AJ111" i="7"/>
  <c r="AK111" i="7"/>
  <c r="AL111" i="7"/>
  <c r="AM111" i="7"/>
  <c r="AN111" i="7"/>
  <c r="AO111" i="7"/>
  <c r="AP111" i="7"/>
  <c r="AQ111" i="7"/>
  <c r="AR111" i="7"/>
  <c r="AS111" i="7"/>
  <c r="AT111" i="7"/>
  <c r="AU111" i="7"/>
  <c r="AV111" i="7"/>
  <c r="AW111" i="7"/>
  <c r="AX111" i="7"/>
  <c r="AY111" i="7"/>
  <c r="O112" i="7"/>
  <c r="P112" i="7"/>
  <c r="Q112" i="7"/>
  <c r="R112" i="7"/>
  <c r="S112" i="7"/>
  <c r="T112" i="7"/>
  <c r="U112" i="7"/>
  <c r="V112" i="7"/>
  <c r="W112" i="7"/>
  <c r="X112" i="7"/>
  <c r="Y112" i="7"/>
  <c r="Z112" i="7"/>
  <c r="AA112" i="7"/>
  <c r="AB112" i="7"/>
  <c r="AC112" i="7"/>
  <c r="AD112" i="7"/>
  <c r="AE112" i="7"/>
  <c r="AF112" i="7"/>
  <c r="AG112" i="7"/>
  <c r="AH112" i="7"/>
  <c r="AI112" i="7"/>
  <c r="AJ112" i="7"/>
  <c r="AK112" i="7"/>
  <c r="AL112" i="7"/>
  <c r="AM112" i="7"/>
  <c r="AN112" i="7"/>
  <c r="AO112" i="7"/>
  <c r="AP112" i="7"/>
  <c r="AQ112" i="7"/>
  <c r="AR112" i="7"/>
  <c r="AS112" i="7"/>
  <c r="AT112" i="7"/>
  <c r="AU112" i="7"/>
  <c r="AV112" i="7"/>
  <c r="AW112" i="7"/>
  <c r="AX112" i="7"/>
  <c r="AY112" i="7"/>
  <c r="O113" i="7"/>
  <c r="P113" i="7"/>
  <c r="Q113" i="7"/>
  <c r="R113" i="7"/>
  <c r="S113" i="7"/>
  <c r="T113" i="7"/>
  <c r="U113" i="7"/>
  <c r="V113" i="7"/>
  <c r="W113" i="7"/>
  <c r="X113" i="7"/>
  <c r="Y113" i="7"/>
  <c r="Z113" i="7"/>
  <c r="AA113" i="7"/>
  <c r="AB113" i="7"/>
  <c r="AC113" i="7"/>
  <c r="AD113" i="7"/>
  <c r="AE113" i="7"/>
  <c r="AF113" i="7"/>
  <c r="AG113" i="7"/>
  <c r="AH113" i="7"/>
  <c r="AI113" i="7"/>
  <c r="AJ113" i="7"/>
  <c r="AK113" i="7"/>
  <c r="AL113" i="7"/>
  <c r="AM113" i="7"/>
  <c r="AN113" i="7"/>
  <c r="AO113" i="7"/>
  <c r="AP113" i="7"/>
  <c r="AQ113" i="7"/>
  <c r="AR113" i="7"/>
  <c r="AS113" i="7"/>
  <c r="AT113" i="7"/>
  <c r="AU113" i="7"/>
  <c r="AV113" i="7"/>
  <c r="AW113" i="7"/>
  <c r="AX113" i="7"/>
  <c r="AY113" i="7"/>
  <c r="O114" i="7"/>
  <c r="P114" i="7"/>
  <c r="Q114" i="7"/>
  <c r="R114" i="7"/>
  <c r="S114" i="7"/>
  <c r="T114" i="7"/>
  <c r="U114" i="7"/>
  <c r="V114" i="7"/>
  <c r="W114" i="7"/>
  <c r="X114" i="7"/>
  <c r="Y114" i="7"/>
  <c r="Z114" i="7"/>
  <c r="AA114" i="7"/>
  <c r="AB114" i="7"/>
  <c r="AC114" i="7"/>
  <c r="AD114" i="7"/>
  <c r="AE114" i="7"/>
  <c r="AF114" i="7"/>
  <c r="AG114" i="7"/>
  <c r="AH114" i="7"/>
  <c r="AI114" i="7"/>
  <c r="AJ114" i="7"/>
  <c r="AK114" i="7"/>
  <c r="AL114" i="7"/>
  <c r="AM114" i="7"/>
  <c r="AN114" i="7"/>
  <c r="AO114" i="7"/>
  <c r="AP114" i="7"/>
  <c r="AQ114" i="7"/>
  <c r="AR114" i="7"/>
  <c r="AS114" i="7"/>
  <c r="AT114" i="7"/>
  <c r="AU114" i="7"/>
  <c r="AV114" i="7"/>
  <c r="AW114" i="7"/>
  <c r="AX114" i="7"/>
  <c r="AY114" i="7"/>
  <c r="O115" i="7"/>
  <c r="P115" i="7"/>
  <c r="Q115" i="7"/>
  <c r="R115" i="7"/>
  <c r="S115" i="7"/>
  <c r="T115" i="7"/>
  <c r="U115" i="7"/>
  <c r="V115" i="7"/>
  <c r="W115" i="7"/>
  <c r="X115" i="7"/>
  <c r="Y115" i="7"/>
  <c r="Z115" i="7"/>
  <c r="AA115" i="7"/>
  <c r="AB115" i="7"/>
  <c r="AC115" i="7"/>
  <c r="AD115" i="7"/>
  <c r="AE115" i="7"/>
  <c r="AF115" i="7"/>
  <c r="AG115" i="7"/>
  <c r="AH115" i="7"/>
  <c r="AI115" i="7"/>
  <c r="AJ115" i="7"/>
  <c r="AK115" i="7"/>
  <c r="AL115" i="7"/>
  <c r="AM115" i="7"/>
  <c r="AN115" i="7"/>
  <c r="AO115" i="7"/>
  <c r="AP115" i="7"/>
  <c r="AQ115" i="7"/>
  <c r="AR115" i="7"/>
  <c r="AS115" i="7"/>
  <c r="AT115" i="7"/>
  <c r="AU115" i="7"/>
  <c r="AV115" i="7"/>
  <c r="AW115" i="7"/>
  <c r="AX115" i="7"/>
  <c r="AY115" i="7"/>
  <c r="O116" i="7"/>
  <c r="P116" i="7"/>
  <c r="Q116" i="7"/>
  <c r="R116" i="7"/>
  <c r="S116" i="7"/>
  <c r="T116" i="7"/>
  <c r="U116" i="7"/>
  <c r="V116" i="7"/>
  <c r="W116" i="7"/>
  <c r="X116" i="7"/>
  <c r="Y116" i="7"/>
  <c r="Z116" i="7"/>
  <c r="AA116" i="7"/>
  <c r="AB116" i="7"/>
  <c r="AC116" i="7"/>
  <c r="AD116" i="7"/>
  <c r="AE116" i="7"/>
  <c r="AF116" i="7"/>
  <c r="AG116" i="7"/>
  <c r="AH116" i="7"/>
  <c r="AI116" i="7"/>
  <c r="AJ116" i="7"/>
  <c r="AK116" i="7"/>
  <c r="AL116" i="7"/>
  <c r="AM116" i="7"/>
  <c r="AN116" i="7"/>
  <c r="AO116" i="7"/>
  <c r="AP116" i="7"/>
  <c r="AQ116" i="7"/>
  <c r="AR116" i="7"/>
  <c r="AS116" i="7"/>
  <c r="AT116" i="7"/>
  <c r="AU116" i="7"/>
  <c r="AV116" i="7"/>
  <c r="AW116" i="7"/>
  <c r="AX116" i="7"/>
  <c r="AY116" i="7"/>
  <c r="O117" i="7"/>
  <c r="P117" i="7"/>
  <c r="Q117" i="7"/>
  <c r="R117" i="7"/>
  <c r="S117" i="7"/>
  <c r="T117" i="7"/>
  <c r="U117" i="7"/>
  <c r="V117" i="7"/>
  <c r="W117" i="7"/>
  <c r="X117" i="7"/>
  <c r="Y117" i="7"/>
  <c r="Z117" i="7"/>
  <c r="AA117" i="7"/>
  <c r="AB117" i="7"/>
  <c r="AC117" i="7"/>
  <c r="AD117" i="7"/>
  <c r="AE117" i="7"/>
  <c r="AF117" i="7"/>
  <c r="AG117" i="7"/>
  <c r="AH117" i="7"/>
  <c r="AI117" i="7"/>
  <c r="AJ117" i="7"/>
  <c r="AK117" i="7"/>
  <c r="AL117" i="7"/>
  <c r="AM117" i="7"/>
  <c r="AN117" i="7"/>
  <c r="AO117" i="7"/>
  <c r="AP117" i="7"/>
  <c r="AQ117" i="7"/>
  <c r="AR117" i="7"/>
  <c r="AS117" i="7"/>
  <c r="AT117" i="7"/>
  <c r="AU117" i="7"/>
  <c r="AV117" i="7"/>
  <c r="AW117" i="7"/>
  <c r="AX117" i="7"/>
  <c r="AY117" i="7"/>
  <c r="O118" i="7"/>
  <c r="P118" i="7"/>
  <c r="Q118" i="7"/>
  <c r="R118" i="7"/>
  <c r="S118" i="7"/>
  <c r="T118" i="7"/>
  <c r="U118" i="7"/>
  <c r="V118" i="7"/>
  <c r="W118" i="7"/>
  <c r="X118" i="7"/>
  <c r="Y118" i="7"/>
  <c r="Z118" i="7"/>
  <c r="AA118" i="7"/>
  <c r="AB118" i="7"/>
  <c r="AC118" i="7"/>
  <c r="AD118" i="7"/>
  <c r="AE118" i="7"/>
  <c r="AF118" i="7"/>
  <c r="AG118" i="7"/>
  <c r="AH118" i="7"/>
  <c r="AI118" i="7"/>
  <c r="AJ118" i="7"/>
  <c r="AK118" i="7"/>
  <c r="AL118" i="7"/>
  <c r="AM118" i="7"/>
  <c r="AN118" i="7"/>
  <c r="AO118" i="7"/>
  <c r="AP118" i="7"/>
  <c r="AQ118" i="7"/>
  <c r="AR118" i="7"/>
  <c r="AS118" i="7"/>
  <c r="AT118" i="7"/>
  <c r="AU118" i="7"/>
  <c r="AV118" i="7"/>
  <c r="AW118" i="7"/>
  <c r="AX118" i="7"/>
  <c r="AY118" i="7"/>
  <c r="O119" i="7"/>
  <c r="P119" i="7"/>
  <c r="Q119" i="7"/>
  <c r="R119" i="7"/>
  <c r="S119" i="7"/>
  <c r="T119" i="7"/>
  <c r="U119" i="7"/>
  <c r="V119" i="7"/>
  <c r="W119" i="7"/>
  <c r="X119" i="7"/>
  <c r="Y119" i="7"/>
  <c r="Z119" i="7"/>
  <c r="AA119" i="7"/>
  <c r="AB119" i="7"/>
  <c r="AC119" i="7"/>
  <c r="AD119" i="7"/>
  <c r="AE119" i="7"/>
  <c r="AF119" i="7"/>
  <c r="AG119" i="7"/>
  <c r="AH119" i="7"/>
  <c r="AI119" i="7"/>
  <c r="AJ119" i="7"/>
  <c r="AK119" i="7"/>
  <c r="AL119" i="7"/>
  <c r="AM119" i="7"/>
  <c r="AN119" i="7"/>
  <c r="AO119" i="7"/>
  <c r="AP119" i="7"/>
  <c r="AQ119" i="7"/>
  <c r="AR119" i="7"/>
  <c r="AS119" i="7"/>
  <c r="AT119" i="7"/>
  <c r="AU119" i="7"/>
  <c r="AV119" i="7"/>
  <c r="AW119" i="7"/>
  <c r="AX119" i="7"/>
  <c r="AY119" i="7"/>
  <c r="O120" i="7"/>
  <c r="P120" i="7"/>
  <c r="Q120" i="7"/>
  <c r="R120" i="7"/>
  <c r="S120" i="7"/>
  <c r="T120" i="7"/>
  <c r="U120" i="7"/>
  <c r="V120" i="7"/>
  <c r="W120" i="7"/>
  <c r="X120" i="7"/>
  <c r="Y120" i="7"/>
  <c r="Z120" i="7"/>
  <c r="AA120" i="7"/>
  <c r="AB120" i="7"/>
  <c r="AC120" i="7"/>
  <c r="AD120" i="7"/>
  <c r="AE120" i="7"/>
  <c r="AF120" i="7"/>
  <c r="AG120" i="7"/>
  <c r="AH120" i="7"/>
  <c r="AI120" i="7"/>
  <c r="AJ120" i="7"/>
  <c r="AK120" i="7"/>
  <c r="AL120" i="7"/>
  <c r="AM120" i="7"/>
  <c r="AN120" i="7"/>
  <c r="AO120" i="7"/>
  <c r="AP120" i="7"/>
  <c r="AQ120" i="7"/>
  <c r="AR120" i="7"/>
  <c r="AS120" i="7"/>
  <c r="AT120" i="7"/>
  <c r="AU120" i="7"/>
  <c r="AV120" i="7"/>
  <c r="AW120" i="7"/>
  <c r="AX120" i="7"/>
  <c r="AY120" i="7"/>
  <c r="O121" i="7"/>
  <c r="P121" i="7"/>
  <c r="Q121" i="7"/>
  <c r="R121" i="7"/>
  <c r="S121" i="7"/>
  <c r="T121" i="7"/>
  <c r="U121" i="7"/>
  <c r="V121" i="7"/>
  <c r="W121" i="7"/>
  <c r="X121" i="7"/>
  <c r="Y121" i="7"/>
  <c r="Z121" i="7"/>
  <c r="AA121" i="7"/>
  <c r="AB121" i="7"/>
  <c r="AC121" i="7"/>
  <c r="AD121" i="7"/>
  <c r="AE121" i="7"/>
  <c r="AF121" i="7"/>
  <c r="AG121" i="7"/>
  <c r="AH121" i="7"/>
  <c r="AI121" i="7"/>
  <c r="AJ121" i="7"/>
  <c r="AK121" i="7"/>
  <c r="AL121" i="7"/>
  <c r="AM121" i="7"/>
  <c r="AN121" i="7"/>
  <c r="AO121" i="7"/>
  <c r="AP121" i="7"/>
  <c r="AQ121" i="7"/>
  <c r="AR121" i="7"/>
  <c r="AS121" i="7"/>
  <c r="AT121" i="7"/>
  <c r="AU121" i="7"/>
  <c r="AV121" i="7"/>
  <c r="AW121" i="7"/>
  <c r="AX121" i="7"/>
  <c r="AY121" i="7"/>
  <c r="O122" i="7"/>
  <c r="P122" i="7"/>
  <c r="Q122" i="7"/>
  <c r="R122" i="7"/>
  <c r="S122" i="7"/>
  <c r="T122" i="7"/>
  <c r="U122" i="7"/>
  <c r="V122" i="7"/>
  <c r="W122" i="7"/>
  <c r="X122" i="7"/>
  <c r="Y122" i="7"/>
  <c r="Z122" i="7"/>
  <c r="AA122" i="7"/>
  <c r="AB122" i="7"/>
  <c r="AC122" i="7"/>
  <c r="AD122" i="7"/>
  <c r="AE122" i="7"/>
  <c r="AF122" i="7"/>
  <c r="AG122" i="7"/>
  <c r="AH122" i="7"/>
  <c r="AI122" i="7"/>
  <c r="AJ122" i="7"/>
  <c r="AK122" i="7"/>
  <c r="AL122" i="7"/>
  <c r="AM122" i="7"/>
  <c r="AN122" i="7"/>
  <c r="AO122" i="7"/>
  <c r="AP122" i="7"/>
  <c r="AQ122" i="7"/>
  <c r="AR122" i="7"/>
  <c r="AS122" i="7"/>
  <c r="AT122" i="7"/>
  <c r="AU122" i="7"/>
  <c r="AV122" i="7"/>
  <c r="AW122" i="7"/>
  <c r="AX122" i="7"/>
  <c r="AY122" i="7"/>
  <c r="O123" i="7"/>
  <c r="P123" i="7"/>
  <c r="Q123" i="7"/>
  <c r="R123" i="7"/>
  <c r="S123" i="7"/>
  <c r="T123" i="7"/>
  <c r="U123" i="7"/>
  <c r="V123" i="7"/>
  <c r="W123" i="7"/>
  <c r="X123" i="7"/>
  <c r="Y123" i="7"/>
  <c r="Z123" i="7"/>
  <c r="AA123" i="7"/>
  <c r="AB123" i="7"/>
  <c r="AC123" i="7"/>
  <c r="AD123" i="7"/>
  <c r="AE123" i="7"/>
  <c r="AF123" i="7"/>
  <c r="AG123" i="7"/>
  <c r="AH123" i="7"/>
  <c r="AI123" i="7"/>
  <c r="AJ123" i="7"/>
  <c r="AK123" i="7"/>
  <c r="AL123" i="7"/>
  <c r="AM123" i="7"/>
  <c r="AN123" i="7"/>
  <c r="AO123" i="7"/>
  <c r="AP123" i="7"/>
  <c r="AQ123" i="7"/>
  <c r="AR123" i="7"/>
  <c r="AS123" i="7"/>
  <c r="AT123" i="7"/>
  <c r="AU123" i="7"/>
  <c r="AV123" i="7"/>
  <c r="AW123" i="7"/>
  <c r="AX123" i="7"/>
  <c r="AY123" i="7"/>
  <c r="O124" i="7"/>
  <c r="P124" i="7"/>
  <c r="Q124" i="7"/>
  <c r="R124" i="7"/>
  <c r="S124" i="7"/>
  <c r="T124" i="7"/>
  <c r="U124" i="7"/>
  <c r="V124" i="7"/>
  <c r="W124" i="7"/>
  <c r="X124" i="7"/>
  <c r="Y124" i="7"/>
  <c r="Z124" i="7"/>
  <c r="AA124" i="7"/>
  <c r="AB124" i="7"/>
  <c r="AC124" i="7"/>
  <c r="AD124" i="7"/>
  <c r="AE124" i="7"/>
  <c r="AF124" i="7"/>
  <c r="AG124" i="7"/>
  <c r="AH124" i="7"/>
  <c r="AI124" i="7"/>
  <c r="AJ124" i="7"/>
  <c r="AK124" i="7"/>
  <c r="AL124" i="7"/>
  <c r="AM124" i="7"/>
  <c r="AN124" i="7"/>
  <c r="AO124" i="7"/>
  <c r="AP124" i="7"/>
  <c r="AQ124" i="7"/>
  <c r="AR124" i="7"/>
  <c r="AS124" i="7"/>
  <c r="AT124" i="7"/>
  <c r="AU124" i="7"/>
  <c r="AV124" i="7"/>
  <c r="AW124" i="7"/>
  <c r="AX124" i="7"/>
  <c r="AY124" i="7"/>
  <c r="O125" i="7"/>
  <c r="P125" i="7"/>
  <c r="Q125" i="7"/>
  <c r="R125" i="7"/>
  <c r="S125" i="7"/>
  <c r="T125" i="7"/>
  <c r="U125" i="7"/>
  <c r="V125" i="7"/>
  <c r="W125" i="7"/>
  <c r="X125" i="7"/>
  <c r="Y125" i="7"/>
  <c r="Z125" i="7"/>
  <c r="AA125" i="7"/>
  <c r="AB125" i="7"/>
  <c r="AC125" i="7"/>
  <c r="AD125" i="7"/>
  <c r="AE125" i="7"/>
  <c r="AF125" i="7"/>
  <c r="AG125" i="7"/>
  <c r="AH125" i="7"/>
  <c r="AI125" i="7"/>
  <c r="AJ125" i="7"/>
  <c r="AK125" i="7"/>
  <c r="AL125" i="7"/>
  <c r="AM125" i="7"/>
  <c r="AN125" i="7"/>
  <c r="AO125" i="7"/>
  <c r="AP125" i="7"/>
  <c r="AQ125" i="7"/>
  <c r="AR125" i="7"/>
  <c r="AS125" i="7"/>
  <c r="AT125" i="7"/>
  <c r="AU125" i="7"/>
  <c r="AV125" i="7"/>
  <c r="AW125" i="7"/>
  <c r="AX125" i="7"/>
  <c r="AY125" i="7"/>
  <c r="O126" i="7"/>
  <c r="P126" i="7"/>
  <c r="Q126" i="7"/>
  <c r="R126" i="7"/>
  <c r="S126" i="7"/>
  <c r="T126" i="7"/>
  <c r="U126" i="7"/>
  <c r="V126" i="7"/>
  <c r="W126" i="7"/>
  <c r="X126" i="7"/>
  <c r="Y126" i="7"/>
  <c r="Z126" i="7"/>
  <c r="AA126" i="7"/>
  <c r="AB126" i="7"/>
  <c r="AC126" i="7"/>
  <c r="AD126" i="7"/>
  <c r="AE126" i="7"/>
  <c r="AF126" i="7"/>
  <c r="AG126" i="7"/>
  <c r="AH126" i="7"/>
  <c r="AI126" i="7"/>
  <c r="AJ126" i="7"/>
  <c r="AK126" i="7"/>
  <c r="AL126" i="7"/>
  <c r="AM126" i="7"/>
  <c r="AN126" i="7"/>
  <c r="AO126" i="7"/>
  <c r="AP126" i="7"/>
  <c r="AQ126" i="7"/>
  <c r="AR126" i="7"/>
  <c r="AS126" i="7"/>
  <c r="AT126" i="7"/>
  <c r="AU126" i="7"/>
  <c r="AV126" i="7"/>
  <c r="AW126" i="7"/>
  <c r="AX126" i="7"/>
  <c r="AY126" i="7"/>
  <c r="O127" i="7"/>
  <c r="P127" i="7"/>
  <c r="Q127" i="7"/>
  <c r="R127" i="7"/>
  <c r="S127" i="7"/>
  <c r="T127" i="7"/>
  <c r="U127" i="7"/>
  <c r="V127" i="7"/>
  <c r="W127" i="7"/>
  <c r="X127" i="7"/>
  <c r="Y127" i="7"/>
  <c r="Z127" i="7"/>
  <c r="AA127" i="7"/>
  <c r="AB127" i="7"/>
  <c r="AC127" i="7"/>
  <c r="AD127" i="7"/>
  <c r="AE127" i="7"/>
  <c r="AF127" i="7"/>
  <c r="AG127" i="7"/>
  <c r="AH127" i="7"/>
  <c r="AI127" i="7"/>
  <c r="AJ127" i="7"/>
  <c r="AK127" i="7"/>
  <c r="AL127" i="7"/>
  <c r="AM127" i="7"/>
  <c r="AN127" i="7"/>
  <c r="AO127" i="7"/>
  <c r="AP127" i="7"/>
  <c r="AQ127" i="7"/>
  <c r="AR127" i="7"/>
  <c r="AS127" i="7"/>
  <c r="AT127" i="7"/>
  <c r="AU127" i="7"/>
  <c r="AV127" i="7"/>
  <c r="AW127" i="7"/>
  <c r="AX127" i="7"/>
  <c r="AY127" i="7"/>
  <c r="O128" i="7"/>
  <c r="P128" i="7"/>
  <c r="Q128" i="7"/>
  <c r="R128" i="7"/>
  <c r="S128" i="7"/>
  <c r="T128" i="7"/>
  <c r="U128" i="7"/>
  <c r="V128" i="7"/>
  <c r="W128" i="7"/>
  <c r="X128" i="7"/>
  <c r="Y128" i="7"/>
  <c r="Z128" i="7"/>
  <c r="AA128" i="7"/>
  <c r="AB128" i="7"/>
  <c r="AC128" i="7"/>
  <c r="AD128" i="7"/>
  <c r="AE128" i="7"/>
  <c r="AF128" i="7"/>
  <c r="AG128" i="7"/>
  <c r="AH128" i="7"/>
  <c r="AI128" i="7"/>
  <c r="AJ128" i="7"/>
  <c r="AK128" i="7"/>
  <c r="AL128" i="7"/>
  <c r="AM128" i="7"/>
  <c r="AN128" i="7"/>
  <c r="AO128" i="7"/>
  <c r="AP128" i="7"/>
  <c r="AQ128" i="7"/>
  <c r="AR128" i="7"/>
  <c r="AS128" i="7"/>
  <c r="AT128" i="7"/>
  <c r="AU128" i="7"/>
  <c r="AV128" i="7"/>
  <c r="AW128" i="7"/>
  <c r="AX128" i="7"/>
  <c r="AY128" i="7"/>
  <c r="O129" i="7"/>
  <c r="P129" i="7"/>
  <c r="Q129" i="7"/>
  <c r="R129" i="7"/>
  <c r="S129" i="7"/>
  <c r="T129" i="7"/>
  <c r="U129" i="7"/>
  <c r="V129" i="7"/>
  <c r="W129" i="7"/>
  <c r="X129" i="7"/>
  <c r="Y129" i="7"/>
  <c r="Z129" i="7"/>
  <c r="AA129" i="7"/>
  <c r="AB129" i="7"/>
  <c r="AC129" i="7"/>
  <c r="AD129" i="7"/>
  <c r="AE129" i="7"/>
  <c r="AF129" i="7"/>
  <c r="AG129" i="7"/>
  <c r="AH129" i="7"/>
  <c r="AI129" i="7"/>
  <c r="AJ129" i="7"/>
  <c r="AK129" i="7"/>
  <c r="AL129" i="7"/>
  <c r="AM129" i="7"/>
  <c r="AN129" i="7"/>
  <c r="AO129" i="7"/>
  <c r="AP129" i="7"/>
  <c r="AQ129" i="7"/>
  <c r="AR129" i="7"/>
  <c r="AS129" i="7"/>
  <c r="AT129" i="7"/>
  <c r="AU129" i="7"/>
  <c r="AV129" i="7"/>
  <c r="AW129" i="7"/>
  <c r="AX129" i="7"/>
  <c r="AY129" i="7"/>
  <c r="O130" i="7"/>
  <c r="P130" i="7"/>
  <c r="Q130" i="7"/>
  <c r="R130" i="7"/>
  <c r="S130" i="7"/>
  <c r="T130" i="7"/>
  <c r="U130" i="7"/>
  <c r="V130" i="7"/>
  <c r="W130" i="7"/>
  <c r="X130" i="7"/>
  <c r="Y130" i="7"/>
  <c r="Z130" i="7"/>
  <c r="AA130" i="7"/>
  <c r="AB130" i="7"/>
  <c r="AC130" i="7"/>
  <c r="AD130" i="7"/>
  <c r="AE130" i="7"/>
  <c r="AF130" i="7"/>
  <c r="AG130" i="7"/>
  <c r="AH130" i="7"/>
  <c r="AI130" i="7"/>
  <c r="AJ130" i="7"/>
  <c r="AK130" i="7"/>
  <c r="AL130" i="7"/>
  <c r="AM130" i="7"/>
  <c r="AN130" i="7"/>
  <c r="AO130" i="7"/>
  <c r="AP130" i="7"/>
  <c r="AQ130" i="7"/>
  <c r="AR130" i="7"/>
  <c r="AS130" i="7"/>
  <c r="AT130" i="7"/>
  <c r="AU130" i="7"/>
  <c r="AV130" i="7"/>
  <c r="AW130" i="7"/>
  <c r="AX130" i="7"/>
  <c r="AY130" i="7"/>
  <c r="O131" i="7"/>
  <c r="P131" i="7"/>
  <c r="Q131" i="7"/>
  <c r="R131" i="7"/>
  <c r="S131" i="7"/>
  <c r="T131" i="7"/>
  <c r="U131" i="7"/>
  <c r="V131" i="7"/>
  <c r="W131" i="7"/>
  <c r="X131" i="7"/>
  <c r="Y131" i="7"/>
  <c r="Z131" i="7"/>
  <c r="AA131" i="7"/>
  <c r="AB131" i="7"/>
  <c r="AC131" i="7"/>
  <c r="AD131" i="7"/>
  <c r="AE131" i="7"/>
  <c r="AF131" i="7"/>
  <c r="AG131" i="7"/>
  <c r="AH131" i="7"/>
  <c r="AI131" i="7"/>
  <c r="AJ131" i="7"/>
  <c r="AK131" i="7"/>
  <c r="AL131" i="7"/>
  <c r="AM131" i="7"/>
  <c r="AN131" i="7"/>
  <c r="AO131" i="7"/>
  <c r="AP131" i="7"/>
  <c r="AQ131" i="7"/>
  <c r="AR131" i="7"/>
  <c r="AS131" i="7"/>
  <c r="AT131" i="7"/>
  <c r="AU131" i="7"/>
  <c r="AV131" i="7"/>
  <c r="AW131" i="7"/>
  <c r="AX131" i="7"/>
  <c r="AY131" i="7"/>
  <c r="O132" i="7"/>
  <c r="P132" i="7"/>
  <c r="Q132" i="7"/>
  <c r="R132" i="7"/>
  <c r="S132" i="7"/>
  <c r="T132" i="7"/>
  <c r="U132" i="7"/>
  <c r="V132" i="7"/>
  <c r="W132" i="7"/>
  <c r="X132" i="7"/>
  <c r="Y132" i="7"/>
  <c r="Z132" i="7"/>
  <c r="AA132" i="7"/>
  <c r="AB132" i="7"/>
  <c r="AC132" i="7"/>
  <c r="AD132" i="7"/>
  <c r="AE132" i="7"/>
  <c r="AF132" i="7"/>
  <c r="AG132" i="7"/>
  <c r="AH132" i="7"/>
  <c r="AI132" i="7"/>
  <c r="AJ132" i="7"/>
  <c r="AK132" i="7"/>
  <c r="AL132" i="7"/>
  <c r="AM132" i="7"/>
  <c r="AN132" i="7"/>
  <c r="AO132" i="7"/>
  <c r="AP132" i="7"/>
  <c r="AQ132" i="7"/>
  <c r="AR132" i="7"/>
  <c r="AS132" i="7"/>
  <c r="AT132" i="7"/>
  <c r="AU132" i="7"/>
  <c r="AV132" i="7"/>
  <c r="AW132" i="7"/>
  <c r="AX132" i="7"/>
  <c r="AY132" i="7"/>
  <c r="O133" i="7"/>
  <c r="P133" i="7"/>
  <c r="Q133" i="7"/>
  <c r="R133" i="7"/>
  <c r="S133" i="7"/>
  <c r="T133" i="7"/>
  <c r="U133" i="7"/>
  <c r="V133" i="7"/>
  <c r="W133" i="7"/>
  <c r="X133" i="7"/>
  <c r="Y133" i="7"/>
  <c r="Z133" i="7"/>
  <c r="AA133" i="7"/>
  <c r="AB133" i="7"/>
  <c r="AC133" i="7"/>
  <c r="AD133" i="7"/>
  <c r="AE133" i="7"/>
  <c r="AF133" i="7"/>
  <c r="AG133" i="7"/>
  <c r="AH133" i="7"/>
  <c r="AI133" i="7"/>
  <c r="AJ133" i="7"/>
  <c r="AK133" i="7"/>
  <c r="AL133" i="7"/>
  <c r="AM133" i="7"/>
  <c r="AN133" i="7"/>
  <c r="AO133" i="7"/>
  <c r="AP133" i="7"/>
  <c r="AQ133" i="7"/>
  <c r="AR133" i="7"/>
  <c r="AS133" i="7"/>
  <c r="AT133" i="7"/>
  <c r="AU133" i="7"/>
  <c r="AV133" i="7"/>
  <c r="AW133" i="7"/>
  <c r="AX133" i="7"/>
  <c r="AY133" i="7"/>
  <c r="O134" i="7"/>
  <c r="P134" i="7"/>
  <c r="Q134" i="7"/>
  <c r="R134" i="7"/>
  <c r="S134" i="7"/>
  <c r="T134" i="7"/>
  <c r="U134" i="7"/>
  <c r="V134" i="7"/>
  <c r="W134" i="7"/>
  <c r="X134" i="7"/>
  <c r="Y134" i="7"/>
  <c r="Z134" i="7"/>
  <c r="AA134" i="7"/>
  <c r="AB134" i="7"/>
  <c r="AC134" i="7"/>
  <c r="AD134" i="7"/>
  <c r="AE134" i="7"/>
  <c r="AF134" i="7"/>
  <c r="AG134" i="7"/>
  <c r="AH134" i="7"/>
  <c r="AI134" i="7"/>
  <c r="AJ134" i="7"/>
  <c r="AK134" i="7"/>
  <c r="AL134" i="7"/>
  <c r="AM134" i="7"/>
  <c r="AN134" i="7"/>
  <c r="AO134" i="7"/>
  <c r="AP134" i="7"/>
  <c r="AQ134" i="7"/>
  <c r="AR134" i="7"/>
  <c r="AS134" i="7"/>
  <c r="AT134" i="7"/>
  <c r="AU134" i="7"/>
  <c r="AV134" i="7"/>
  <c r="AW134" i="7"/>
  <c r="AX134" i="7"/>
  <c r="AY134" i="7"/>
  <c r="O135" i="7"/>
  <c r="P135" i="7"/>
  <c r="Q135" i="7"/>
  <c r="R135" i="7"/>
  <c r="S135" i="7"/>
  <c r="T135" i="7"/>
  <c r="U135" i="7"/>
  <c r="V135" i="7"/>
  <c r="W135" i="7"/>
  <c r="X135" i="7"/>
  <c r="Y135" i="7"/>
  <c r="Z135" i="7"/>
  <c r="AA135" i="7"/>
  <c r="AB135" i="7"/>
  <c r="AC135" i="7"/>
  <c r="AD135" i="7"/>
  <c r="AE135" i="7"/>
  <c r="AF135" i="7"/>
  <c r="AG135" i="7"/>
  <c r="AH135" i="7"/>
  <c r="AI135" i="7"/>
  <c r="AJ135" i="7"/>
  <c r="AK135" i="7"/>
  <c r="AL135" i="7"/>
  <c r="AM135" i="7"/>
  <c r="AN135" i="7"/>
  <c r="AO135" i="7"/>
  <c r="AP135" i="7"/>
  <c r="AQ135" i="7"/>
  <c r="AR135" i="7"/>
  <c r="AS135" i="7"/>
  <c r="AT135" i="7"/>
  <c r="AU135" i="7"/>
  <c r="AV135" i="7"/>
  <c r="AW135" i="7"/>
  <c r="AX135" i="7"/>
  <c r="AY135" i="7"/>
  <c r="O136" i="7"/>
  <c r="P136" i="7"/>
  <c r="Q136" i="7"/>
  <c r="R136" i="7"/>
  <c r="S136" i="7"/>
  <c r="T136" i="7"/>
  <c r="U136" i="7"/>
  <c r="V136" i="7"/>
  <c r="W136" i="7"/>
  <c r="X136" i="7"/>
  <c r="Y136" i="7"/>
  <c r="Z136" i="7"/>
  <c r="AA136" i="7"/>
  <c r="AB136" i="7"/>
  <c r="AC136" i="7"/>
  <c r="AD136" i="7"/>
  <c r="AE136" i="7"/>
  <c r="AF136" i="7"/>
  <c r="AG136" i="7"/>
  <c r="AH136" i="7"/>
  <c r="AI136" i="7"/>
  <c r="AJ136" i="7"/>
  <c r="AK136" i="7"/>
  <c r="AL136" i="7"/>
  <c r="AM136" i="7"/>
  <c r="AN136" i="7"/>
  <c r="AO136" i="7"/>
  <c r="AP136" i="7"/>
  <c r="AQ136" i="7"/>
  <c r="AR136" i="7"/>
  <c r="AS136" i="7"/>
  <c r="AT136" i="7"/>
  <c r="AU136" i="7"/>
  <c r="AV136" i="7"/>
  <c r="AW136" i="7"/>
  <c r="AX136" i="7"/>
  <c r="AY136" i="7"/>
  <c r="O137" i="7"/>
  <c r="P137" i="7"/>
  <c r="Q137" i="7"/>
  <c r="R137" i="7"/>
  <c r="S137" i="7"/>
  <c r="T137" i="7"/>
  <c r="U137" i="7"/>
  <c r="V137" i="7"/>
  <c r="W137" i="7"/>
  <c r="X137" i="7"/>
  <c r="Y137" i="7"/>
  <c r="Z137" i="7"/>
  <c r="AA137" i="7"/>
  <c r="AB137" i="7"/>
  <c r="AC137" i="7"/>
  <c r="AD137" i="7"/>
  <c r="AE137" i="7"/>
  <c r="AF137" i="7"/>
  <c r="AG137" i="7"/>
  <c r="AH137" i="7"/>
  <c r="AI137" i="7"/>
  <c r="AJ137" i="7"/>
  <c r="AK137" i="7"/>
  <c r="AL137" i="7"/>
  <c r="AM137" i="7"/>
  <c r="AN137" i="7"/>
  <c r="AO137" i="7"/>
  <c r="AP137" i="7"/>
  <c r="AQ137" i="7"/>
  <c r="AR137" i="7"/>
  <c r="AS137" i="7"/>
  <c r="AT137" i="7"/>
  <c r="AU137" i="7"/>
  <c r="AV137" i="7"/>
  <c r="AW137" i="7"/>
  <c r="AX137" i="7"/>
  <c r="AY137" i="7"/>
  <c r="O138" i="7"/>
  <c r="P138" i="7"/>
  <c r="Q138" i="7"/>
  <c r="R138" i="7"/>
  <c r="S138" i="7"/>
  <c r="T138" i="7"/>
  <c r="U138" i="7"/>
  <c r="V138" i="7"/>
  <c r="W138" i="7"/>
  <c r="X138" i="7"/>
  <c r="Y138" i="7"/>
  <c r="Z138" i="7"/>
  <c r="AA138" i="7"/>
  <c r="AB138" i="7"/>
  <c r="AC138" i="7"/>
  <c r="AD138" i="7"/>
  <c r="AE138" i="7"/>
  <c r="AF138" i="7"/>
  <c r="AG138" i="7"/>
  <c r="AH138" i="7"/>
  <c r="AI138" i="7"/>
  <c r="AJ138" i="7"/>
  <c r="AK138" i="7"/>
  <c r="AL138" i="7"/>
  <c r="AM138" i="7"/>
  <c r="AN138" i="7"/>
  <c r="AO138" i="7"/>
  <c r="AP138" i="7"/>
  <c r="AQ138" i="7"/>
  <c r="AR138" i="7"/>
  <c r="AS138" i="7"/>
  <c r="AT138" i="7"/>
  <c r="AU138" i="7"/>
  <c r="AV138" i="7"/>
  <c r="AW138" i="7"/>
  <c r="AX138" i="7"/>
  <c r="AY138" i="7"/>
  <c r="O139" i="7"/>
  <c r="P139" i="7"/>
  <c r="Q139" i="7"/>
  <c r="R139" i="7"/>
  <c r="S139" i="7"/>
  <c r="T139" i="7"/>
  <c r="U139" i="7"/>
  <c r="V139" i="7"/>
  <c r="W139" i="7"/>
  <c r="X139" i="7"/>
  <c r="Y139" i="7"/>
  <c r="Z139" i="7"/>
  <c r="AA139" i="7"/>
  <c r="AB139" i="7"/>
  <c r="AC139" i="7"/>
  <c r="AD139" i="7"/>
  <c r="AE139" i="7"/>
  <c r="AF139" i="7"/>
  <c r="AG139" i="7"/>
  <c r="AH139" i="7"/>
  <c r="AI139" i="7"/>
  <c r="AJ139" i="7"/>
  <c r="AK139" i="7"/>
  <c r="AL139" i="7"/>
  <c r="AM139" i="7"/>
  <c r="AN139" i="7"/>
  <c r="AO139" i="7"/>
  <c r="AP139" i="7"/>
  <c r="AQ139" i="7"/>
  <c r="AR139" i="7"/>
  <c r="AS139" i="7"/>
  <c r="AT139" i="7"/>
  <c r="AU139" i="7"/>
  <c r="AV139" i="7"/>
  <c r="AW139" i="7"/>
  <c r="AX139" i="7"/>
  <c r="AY139" i="7"/>
  <c r="O140" i="7"/>
  <c r="P140" i="7"/>
  <c r="Q140" i="7"/>
  <c r="R140" i="7"/>
  <c r="S140" i="7"/>
  <c r="T140" i="7"/>
  <c r="U140" i="7"/>
  <c r="V140" i="7"/>
  <c r="W140" i="7"/>
  <c r="X140" i="7"/>
  <c r="Y140" i="7"/>
  <c r="Z140" i="7"/>
  <c r="AA140" i="7"/>
  <c r="AB140" i="7"/>
  <c r="AC140" i="7"/>
  <c r="AD140" i="7"/>
  <c r="AE140" i="7"/>
  <c r="AF140" i="7"/>
  <c r="AG140" i="7"/>
  <c r="AH140" i="7"/>
  <c r="AI140" i="7"/>
  <c r="AJ140" i="7"/>
  <c r="AK140" i="7"/>
  <c r="AL140" i="7"/>
  <c r="AM140" i="7"/>
  <c r="AN140" i="7"/>
  <c r="AO140" i="7"/>
  <c r="AP140" i="7"/>
  <c r="AQ140" i="7"/>
  <c r="AR140" i="7"/>
  <c r="AS140" i="7"/>
  <c r="AT140" i="7"/>
  <c r="AU140" i="7"/>
  <c r="AV140" i="7"/>
  <c r="AW140" i="7"/>
  <c r="AX140" i="7"/>
  <c r="AY140" i="7"/>
  <c r="O141" i="7"/>
  <c r="P141" i="7"/>
  <c r="Q141" i="7"/>
  <c r="R141" i="7"/>
  <c r="S141" i="7"/>
  <c r="T141" i="7"/>
  <c r="U141" i="7"/>
  <c r="V141" i="7"/>
  <c r="W141" i="7"/>
  <c r="X141" i="7"/>
  <c r="Y141" i="7"/>
  <c r="Z141" i="7"/>
  <c r="AA141" i="7"/>
  <c r="AB141" i="7"/>
  <c r="AC141" i="7"/>
  <c r="AD141" i="7"/>
  <c r="AE141" i="7"/>
  <c r="AF141" i="7"/>
  <c r="AG141" i="7"/>
  <c r="AH141" i="7"/>
  <c r="AI141" i="7"/>
  <c r="AJ141" i="7"/>
  <c r="AK141" i="7"/>
  <c r="AL141" i="7"/>
  <c r="AM141" i="7"/>
  <c r="AN141" i="7"/>
  <c r="AO141" i="7"/>
  <c r="AP141" i="7"/>
  <c r="AQ141" i="7"/>
  <c r="AR141" i="7"/>
  <c r="AS141" i="7"/>
  <c r="AT141" i="7"/>
  <c r="AU141" i="7"/>
  <c r="AV141" i="7"/>
  <c r="AW141" i="7"/>
  <c r="AX141" i="7"/>
  <c r="AY141" i="7"/>
  <c r="O142" i="7"/>
  <c r="P142" i="7"/>
  <c r="Q142" i="7"/>
  <c r="R142" i="7"/>
  <c r="S142" i="7"/>
  <c r="T142" i="7"/>
  <c r="U142" i="7"/>
  <c r="V142" i="7"/>
  <c r="W142" i="7"/>
  <c r="X142" i="7"/>
  <c r="Y142" i="7"/>
  <c r="Z142" i="7"/>
  <c r="AA142" i="7"/>
  <c r="AB142" i="7"/>
  <c r="AC142" i="7"/>
  <c r="AD142" i="7"/>
  <c r="AE142" i="7"/>
  <c r="AF142" i="7"/>
  <c r="AG142" i="7"/>
  <c r="AH142" i="7"/>
  <c r="AI142" i="7"/>
  <c r="AJ142" i="7"/>
  <c r="AK142" i="7"/>
  <c r="AL142" i="7"/>
  <c r="AM142" i="7"/>
  <c r="AN142" i="7"/>
  <c r="AO142" i="7"/>
  <c r="AP142" i="7"/>
  <c r="AQ142" i="7"/>
  <c r="AR142" i="7"/>
  <c r="AS142" i="7"/>
  <c r="AT142" i="7"/>
  <c r="AU142" i="7"/>
  <c r="AV142" i="7"/>
  <c r="AW142" i="7"/>
  <c r="AX142" i="7"/>
  <c r="AY142" i="7"/>
  <c r="O143" i="7"/>
  <c r="P143" i="7"/>
  <c r="Q143" i="7"/>
  <c r="R143" i="7"/>
  <c r="S143" i="7"/>
  <c r="T143" i="7"/>
  <c r="U143" i="7"/>
  <c r="V143" i="7"/>
  <c r="W143" i="7"/>
  <c r="X143" i="7"/>
  <c r="Y143" i="7"/>
  <c r="Z143" i="7"/>
  <c r="AA143" i="7"/>
  <c r="AB143" i="7"/>
  <c r="AC143" i="7"/>
  <c r="AD143" i="7"/>
  <c r="AE143" i="7"/>
  <c r="AF143" i="7"/>
  <c r="AG143" i="7"/>
  <c r="AH143" i="7"/>
  <c r="AI143" i="7"/>
  <c r="AJ143" i="7"/>
  <c r="AK143" i="7"/>
  <c r="AL143" i="7"/>
  <c r="AM143" i="7"/>
  <c r="AN143" i="7"/>
  <c r="AO143" i="7"/>
  <c r="AP143" i="7"/>
  <c r="AQ143" i="7"/>
  <c r="AR143" i="7"/>
  <c r="AS143" i="7"/>
  <c r="AT143" i="7"/>
  <c r="AU143" i="7"/>
  <c r="AV143" i="7"/>
  <c r="AW143" i="7"/>
  <c r="AX143" i="7"/>
  <c r="AY143" i="7"/>
  <c r="O144" i="7"/>
  <c r="P144" i="7"/>
  <c r="Q144" i="7"/>
  <c r="R144" i="7"/>
  <c r="S144" i="7"/>
  <c r="T144" i="7"/>
  <c r="U144" i="7"/>
  <c r="V144" i="7"/>
  <c r="W144" i="7"/>
  <c r="X144" i="7"/>
  <c r="Y144" i="7"/>
  <c r="Z144" i="7"/>
  <c r="AA144" i="7"/>
  <c r="AB144" i="7"/>
  <c r="AC144" i="7"/>
  <c r="AD144" i="7"/>
  <c r="AE144" i="7"/>
  <c r="AF144" i="7"/>
  <c r="AG144" i="7"/>
  <c r="AH144" i="7"/>
  <c r="AI144" i="7"/>
  <c r="AJ144" i="7"/>
  <c r="AK144" i="7"/>
  <c r="AL144" i="7"/>
  <c r="AM144" i="7"/>
  <c r="AN144" i="7"/>
  <c r="AO144" i="7"/>
  <c r="AP144" i="7"/>
  <c r="AQ144" i="7"/>
  <c r="AR144" i="7"/>
  <c r="AS144" i="7"/>
  <c r="AT144" i="7"/>
  <c r="AU144" i="7"/>
  <c r="AV144" i="7"/>
  <c r="AW144" i="7"/>
  <c r="AX144" i="7"/>
  <c r="AY144" i="7"/>
  <c r="O145" i="7"/>
  <c r="P145" i="7"/>
  <c r="Q145" i="7"/>
  <c r="R145" i="7"/>
  <c r="S145" i="7"/>
  <c r="T145" i="7"/>
  <c r="U145" i="7"/>
  <c r="V145" i="7"/>
  <c r="W145" i="7"/>
  <c r="X145" i="7"/>
  <c r="Y145" i="7"/>
  <c r="Z145" i="7"/>
  <c r="AA145" i="7"/>
  <c r="AB145" i="7"/>
  <c r="AC145" i="7"/>
  <c r="AD145" i="7"/>
  <c r="AE145" i="7"/>
  <c r="AF145" i="7"/>
  <c r="AG145" i="7"/>
  <c r="AH145" i="7"/>
  <c r="AI145" i="7"/>
  <c r="AJ145" i="7"/>
  <c r="AK145" i="7"/>
  <c r="AL145" i="7"/>
  <c r="AM145" i="7"/>
  <c r="AN145" i="7"/>
  <c r="AO145" i="7"/>
  <c r="AP145" i="7"/>
  <c r="AQ145" i="7"/>
  <c r="AR145" i="7"/>
  <c r="AS145" i="7"/>
  <c r="AT145" i="7"/>
  <c r="AU145" i="7"/>
  <c r="AV145" i="7"/>
  <c r="AW145" i="7"/>
  <c r="AX145" i="7"/>
  <c r="AY145" i="7"/>
  <c r="O146" i="7"/>
  <c r="P146" i="7"/>
  <c r="Q146" i="7"/>
  <c r="R146" i="7"/>
  <c r="S146" i="7"/>
  <c r="T146" i="7"/>
  <c r="U146" i="7"/>
  <c r="V146" i="7"/>
  <c r="W146" i="7"/>
  <c r="X146" i="7"/>
  <c r="Y146" i="7"/>
  <c r="Z146" i="7"/>
  <c r="AA146" i="7"/>
  <c r="AB146" i="7"/>
  <c r="AC146" i="7"/>
  <c r="AD146" i="7"/>
  <c r="AE146" i="7"/>
  <c r="AF146" i="7"/>
  <c r="AG146" i="7"/>
  <c r="AH146" i="7"/>
  <c r="AI146" i="7"/>
  <c r="AJ146" i="7"/>
  <c r="AK146" i="7"/>
  <c r="AL146" i="7"/>
  <c r="AM146" i="7"/>
  <c r="AN146" i="7"/>
  <c r="AO146" i="7"/>
  <c r="AP146" i="7"/>
  <c r="AQ146" i="7"/>
  <c r="AR146" i="7"/>
  <c r="AS146" i="7"/>
  <c r="AT146" i="7"/>
  <c r="AU146" i="7"/>
  <c r="AV146" i="7"/>
  <c r="AW146" i="7"/>
  <c r="AX146" i="7"/>
  <c r="AY146" i="7"/>
  <c r="O147" i="7"/>
  <c r="P147" i="7"/>
  <c r="Q147" i="7"/>
  <c r="R147" i="7"/>
  <c r="S147" i="7"/>
  <c r="T147" i="7"/>
  <c r="U147" i="7"/>
  <c r="V147" i="7"/>
  <c r="W147" i="7"/>
  <c r="X147" i="7"/>
  <c r="Y147" i="7"/>
  <c r="Z147" i="7"/>
  <c r="AA147" i="7"/>
  <c r="AB147" i="7"/>
  <c r="AC147" i="7"/>
  <c r="AD147" i="7"/>
  <c r="AE147" i="7"/>
  <c r="AF147" i="7"/>
  <c r="AG147" i="7"/>
  <c r="AH147" i="7"/>
  <c r="AI147" i="7"/>
  <c r="AJ147" i="7"/>
  <c r="AK147" i="7"/>
  <c r="AL147" i="7"/>
  <c r="AM147" i="7"/>
  <c r="AN147" i="7"/>
  <c r="AO147" i="7"/>
  <c r="AP147" i="7"/>
  <c r="AQ147" i="7"/>
  <c r="AR147" i="7"/>
  <c r="AS147" i="7"/>
  <c r="AT147" i="7"/>
  <c r="AU147" i="7"/>
  <c r="AV147" i="7"/>
  <c r="AW147" i="7"/>
  <c r="AX147" i="7"/>
  <c r="AY147" i="7"/>
  <c r="O148" i="7"/>
  <c r="P148" i="7"/>
  <c r="Q148" i="7"/>
  <c r="R148" i="7"/>
  <c r="S148" i="7"/>
  <c r="T148" i="7"/>
  <c r="U148" i="7"/>
  <c r="V148" i="7"/>
  <c r="W148" i="7"/>
  <c r="X148" i="7"/>
  <c r="Y148" i="7"/>
  <c r="Z148" i="7"/>
  <c r="AA148" i="7"/>
  <c r="AB148" i="7"/>
  <c r="AC148" i="7"/>
  <c r="AD148" i="7"/>
  <c r="AE148" i="7"/>
  <c r="AF148" i="7"/>
  <c r="AG148" i="7"/>
  <c r="AH148" i="7"/>
  <c r="AI148" i="7"/>
  <c r="AJ148" i="7"/>
  <c r="AK148" i="7"/>
  <c r="AL148" i="7"/>
  <c r="AM148" i="7"/>
  <c r="AN148" i="7"/>
  <c r="AO148" i="7"/>
  <c r="AP148" i="7"/>
  <c r="AQ148" i="7"/>
  <c r="AR148" i="7"/>
  <c r="AS148" i="7"/>
  <c r="AT148" i="7"/>
  <c r="AU148" i="7"/>
  <c r="AV148" i="7"/>
  <c r="AW148" i="7"/>
  <c r="AX148" i="7"/>
  <c r="AY148" i="7"/>
  <c r="O149" i="7"/>
  <c r="P149" i="7"/>
  <c r="Q149" i="7"/>
  <c r="R149" i="7"/>
  <c r="S149" i="7"/>
  <c r="T149" i="7"/>
  <c r="U149" i="7"/>
  <c r="V149" i="7"/>
  <c r="W149" i="7"/>
  <c r="X149" i="7"/>
  <c r="Y149" i="7"/>
  <c r="Z149" i="7"/>
  <c r="AA149" i="7"/>
  <c r="AB149" i="7"/>
  <c r="AC149" i="7"/>
  <c r="AD149" i="7"/>
  <c r="AE149" i="7"/>
  <c r="AF149" i="7"/>
  <c r="AG149" i="7"/>
  <c r="AH149" i="7"/>
  <c r="AI149" i="7"/>
  <c r="AJ149" i="7"/>
  <c r="AK149" i="7"/>
  <c r="AL149" i="7"/>
  <c r="AM149" i="7"/>
  <c r="AN149" i="7"/>
  <c r="AO149" i="7"/>
  <c r="AP149" i="7"/>
  <c r="AQ149" i="7"/>
  <c r="AR149" i="7"/>
  <c r="AS149" i="7"/>
  <c r="AT149" i="7"/>
  <c r="AU149" i="7"/>
  <c r="AV149" i="7"/>
  <c r="AW149" i="7"/>
  <c r="AX149" i="7"/>
  <c r="AY149" i="7"/>
  <c r="O150" i="7"/>
  <c r="P150" i="7"/>
  <c r="Q150" i="7"/>
  <c r="R150" i="7"/>
  <c r="S150" i="7"/>
  <c r="T150" i="7"/>
  <c r="U150" i="7"/>
  <c r="V150" i="7"/>
  <c r="W150" i="7"/>
  <c r="X150" i="7"/>
  <c r="Y150" i="7"/>
  <c r="Z150" i="7"/>
  <c r="AA150" i="7"/>
  <c r="AB150" i="7"/>
  <c r="AC150" i="7"/>
  <c r="AD150" i="7"/>
  <c r="AE150" i="7"/>
  <c r="AF150" i="7"/>
  <c r="AG150" i="7"/>
  <c r="AH150" i="7"/>
  <c r="AI150" i="7"/>
  <c r="AJ150" i="7"/>
  <c r="AK150" i="7"/>
  <c r="AL150" i="7"/>
  <c r="AM150" i="7"/>
  <c r="AN150" i="7"/>
  <c r="AO150" i="7"/>
  <c r="AP150" i="7"/>
  <c r="AQ150" i="7"/>
  <c r="AR150" i="7"/>
  <c r="AS150" i="7"/>
  <c r="AT150" i="7"/>
  <c r="AU150" i="7"/>
  <c r="AV150" i="7"/>
  <c r="AW150" i="7"/>
  <c r="AX150" i="7"/>
  <c r="AY150" i="7"/>
  <c r="O151" i="7"/>
  <c r="P151" i="7"/>
  <c r="Q151" i="7"/>
  <c r="R151" i="7"/>
  <c r="S151" i="7"/>
  <c r="T151" i="7"/>
  <c r="U151" i="7"/>
  <c r="V151" i="7"/>
  <c r="W151" i="7"/>
  <c r="X151" i="7"/>
  <c r="Y151" i="7"/>
  <c r="Z151" i="7"/>
  <c r="AA151" i="7"/>
  <c r="AB151" i="7"/>
  <c r="AC151" i="7"/>
  <c r="AD151" i="7"/>
  <c r="AE151" i="7"/>
  <c r="AF151" i="7"/>
  <c r="AG151" i="7"/>
  <c r="AH151" i="7"/>
  <c r="AI151" i="7"/>
  <c r="AJ151" i="7"/>
  <c r="AK151" i="7"/>
  <c r="AL151" i="7"/>
  <c r="AM151" i="7"/>
  <c r="AN151" i="7"/>
  <c r="AO151" i="7"/>
  <c r="AP151" i="7"/>
  <c r="AQ151" i="7"/>
  <c r="AR151" i="7"/>
  <c r="AS151" i="7"/>
  <c r="AT151" i="7"/>
  <c r="AU151" i="7"/>
  <c r="AV151" i="7"/>
  <c r="AW151" i="7"/>
  <c r="AX151" i="7"/>
  <c r="AY151" i="7"/>
  <c r="O152" i="7"/>
  <c r="P152" i="7"/>
  <c r="Q152" i="7"/>
  <c r="R152" i="7"/>
  <c r="S152" i="7"/>
  <c r="T152" i="7"/>
  <c r="U152" i="7"/>
  <c r="V152" i="7"/>
  <c r="W152" i="7"/>
  <c r="X152" i="7"/>
  <c r="Y152" i="7"/>
  <c r="Z152" i="7"/>
  <c r="AA152" i="7"/>
  <c r="AB152" i="7"/>
  <c r="AC152" i="7"/>
  <c r="AD152" i="7"/>
  <c r="AE152" i="7"/>
  <c r="AF152" i="7"/>
  <c r="AG152" i="7"/>
  <c r="AH152" i="7"/>
  <c r="AI152" i="7"/>
  <c r="AJ152" i="7"/>
  <c r="AK152" i="7"/>
  <c r="AL152" i="7"/>
  <c r="AM152" i="7"/>
  <c r="AN152" i="7"/>
  <c r="AO152" i="7"/>
  <c r="AP152" i="7"/>
  <c r="AQ152" i="7"/>
  <c r="AR152" i="7"/>
  <c r="AS152" i="7"/>
  <c r="AT152" i="7"/>
  <c r="AU152" i="7"/>
  <c r="AV152" i="7"/>
  <c r="AW152" i="7"/>
  <c r="AX152" i="7"/>
  <c r="AY152" i="7"/>
  <c r="O153" i="7"/>
  <c r="P153" i="7"/>
  <c r="Q153" i="7"/>
  <c r="R153" i="7"/>
  <c r="S153" i="7"/>
  <c r="T153" i="7"/>
  <c r="U153" i="7"/>
  <c r="V153" i="7"/>
  <c r="W153" i="7"/>
  <c r="X153" i="7"/>
  <c r="Y153" i="7"/>
  <c r="Z153" i="7"/>
  <c r="AA153" i="7"/>
  <c r="AB153" i="7"/>
  <c r="AC153" i="7"/>
  <c r="AD153" i="7"/>
  <c r="AE153" i="7"/>
  <c r="AF153" i="7"/>
  <c r="AG153" i="7"/>
  <c r="AH153" i="7"/>
  <c r="AI153" i="7"/>
  <c r="AJ153" i="7"/>
  <c r="AK153" i="7"/>
  <c r="AL153" i="7"/>
  <c r="AM153" i="7"/>
  <c r="AN153" i="7"/>
  <c r="AO153" i="7"/>
  <c r="AP153" i="7"/>
  <c r="AQ153" i="7"/>
  <c r="AR153" i="7"/>
  <c r="AS153" i="7"/>
  <c r="AT153" i="7"/>
  <c r="AU153" i="7"/>
  <c r="AV153" i="7"/>
  <c r="AW153" i="7"/>
  <c r="AX153" i="7"/>
  <c r="AY153" i="7"/>
  <c r="O154" i="7"/>
  <c r="P154" i="7"/>
  <c r="Q154" i="7"/>
  <c r="R154" i="7"/>
  <c r="S154" i="7"/>
  <c r="T154" i="7"/>
  <c r="U154" i="7"/>
  <c r="V154" i="7"/>
  <c r="W154" i="7"/>
  <c r="X154" i="7"/>
  <c r="Y154" i="7"/>
  <c r="Z154" i="7"/>
  <c r="AA154" i="7"/>
  <c r="AB154" i="7"/>
  <c r="AC154" i="7"/>
  <c r="AD154" i="7"/>
  <c r="AE154" i="7"/>
  <c r="AF154" i="7"/>
  <c r="AG154" i="7"/>
  <c r="AH154" i="7"/>
  <c r="AI154" i="7"/>
  <c r="AJ154" i="7"/>
  <c r="AK154" i="7"/>
  <c r="AL154" i="7"/>
  <c r="AM154" i="7"/>
  <c r="AN154" i="7"/>
  <c r="AO154" i="7"/>
  <c r="AP154" i="7"/>
  <c r="AQ154" i="7"/>
  <c r="AR154" i="7"/>
  <c r="AS154" i="7"/>
  <c r="AT154" i="7"/>
  <c r="AU154" i="7"/>
  <c r="AV154" i="7"/>
  <c r="AW154" i="7"/>
  <c r="AX154" i="7"/>
  <c r="AY154" i="7"/>
  <c r="O155" i="7"/>
  <c r="P155" i="7"/>
  <c r="Q155" i="7"/>
  <c r="R155" i="7"/>
  <c r="S155" i="7"/>
  <c r="T155" i="7"/>
  <c r="U155" i="7"/>
  <c r="V155" i="7"/>
  <c r="W155" i="7"/>
  <c r="X155" i="7"/>
  <c r="Y155" i="7"/>
  <c r="Z155" i="7"/>
  <c r="AA155" i="7"/>
  <c r="AB155" i="7"/>
  <c r="AC155" i="7"/>
  <c r="AD155" i="7"/>
  <c r="AE155" i="7"/>
  <c r="AF155" i="7"/>
  <c r="AG155" i="7"/>
  <c r="AH155" i="7"/>
  <c r="AI155" i="7"/>
  <c r="AJ155" i="7"/>
  <c r="AK155" i="7"/>
  <c r="AL155" i="7"/>
  <c r="AM155" i="7"/>
  <c r="AN155" i="7"/>
  <c r="AO155" i="7"/>
  <c r="AP155" i="7"/>
  <c r="AQ155" i="7"/>
  <c r="AR155" i="7"/>
  <c r="AS155" i="7"/>
  <c r="AT155" i="7"/>
  <c r="AU155" i="7"/>
  <c r="AV155" i="7"/>
  <c r="AW155" i="7"/>
  <c r="AX155" i="7"/>
  <c r="AY155" i="7"/>
  <c r="O156" i="7"/>
  <c r="P156" i="7"/>
  <c r="Q156" i="7"/>
  <c r="R156" i="7"/>
  <c r="S156" i="7"/>
  <c r="T156" i="7"/>
  <c r="U156" i="7"/>
  <c r="V156" i="7"/>
  <c r="W156" i="7"/>
  <c r="X156" i="7"/>
  <c r="Y156" i="7"/>
  <c r="Z156" i="7"/>
  <c r="AA156" i="7"/>
  <c r="AB156" i="7"/>
  <c r="AC156" i="7"/>
  <c r="AD156" i="7"/>
  <c r="AE156" i="7"/>
  <c r="AF156" i="7"/>
  <c r="AG156" i="7"/>
  <c r="AH156" i="7"/>
  <c r="AI156" i="7"/>
  <c r="AJ156" i="7"/>
  <c r="AK156" i="7"/>
  <c r="AL156" i="7"/>
  <c r="AM156" i="7"/>
  <c r="AN156" i="7"/>
  <c r="AO156" i="7"/>
  <c r="AP156" i="7"/>
  <c r="AQ156" i="7"/>
  <c r="AR156" i="7"/>
  <c r="AS156" i="7"/>
  <c r="AT156" i="7"/>
  <c r="AU156" i="7"/>
  <c r="AV156" i="7"/>
  <c r="AW156" i="7"/>
  <c r="AX156" i="7"/>
  <c r="AY156" i="7"/>
  <c r="O157" i="7"/>
  <c r="P157" i="7"/>
  <c r="Q157" i="7"/>
  <c r="R157" i="7"/>
  <c r="S157" i="7"/>
  <c r="T157" i="7"/>
  <c r="U157" i="7"/>
  <c r="V157" i="7"/>
  <c r="W157" i="7"/>
  <c r="X157" i="7"/>
  <c r="Y157" i="7"/>
  <c r="Z157" i="7"/>
  <c r="AA157" i="7"/>
  <c r="AB157" i="7"/>
  <c r="AC157" i="7"/>
  <c r="AD157" i="7"/>
  <c r="AE157" i="7"/>
  <c r="AF157" i="7"/>
  <c r="AG157" i="7"/>
  <c r="AH157" i="7"/>
  <c r="AI157" i="7"/>
  <c r="AJ157" i="7"/>
  <c r="AK157" i="7"/>
  <c r="AL157" i="7"/>
  <c r="AM157" i="7"/>
  <c r="AN157" i="7"/>
  <c r="AO157" i="7"/>
  <c r="AP157" i="7"/>
  <c r="AQ157" i="7"/>
  <c r="AR157" i="7"/>
  <c r="AS157" i="7"/>
  <c r="AT157" i="7"/>
  <c r="AU157" i="7"/>
  <c r="AV157" i="7"/>
  <c r="AW157" i="7"/>
  <c r="AX157" i="7"/>
  <c r="AY157" i="7"/>
  <c r="O158" i="7"/>
  <c r="P158" i="7"/>
  <c r="Q158" i="7"/>
  <c r="R158" i="7"/>
  <c r="S158" i="7"/>
  <c r="T158" i="7"/>
  <c r="U158" i="7"/>
  <c r="V158" i="7"/>
  <c r="W158" i="7"/>
  <c r="X158" i="7"/>
  <c r="Y158" i="7"/>
  <c r="Z158" i="7"/>
  <c r="AA158" i="7"/>
  <c r="AB158" i="7"/>
  <c r="AC158" i="7"/>
  <c r="AD158" i="7"/>
  <c r="AE158" i="7"/>
  <c r="AF158" i="7"/>
  <c r="AG158" i="7"/>
  <c r="AH158" i="7"/>
  <c r="AI158" i="7"/>
  <c r="AJ158" i="7"/>
  <c r="AK158" i="7"/>
  <c r="AL158" i="7"/>
  <c r="AM158" i="7"/>
  <c r="AN158" i="7"/>
  <c r="AO158" i="7"/>
  <c r="AP158" i="7"/>
  <c r="AQ158" i="7"/>
  <c r="AR158" i="7"/>
  <c r="AS158" i="7"/>
  <c r="AT158" i="7"/>
  <c r="AU158" i="7"/>
  <c r="AV158" i="7"/>
  <c r="AW158" i="7"/>
  <c r="AX158" i="7"/>
  <c r="AY158" i="7"/>
  <c r="O159" i="7"/>
  <c r="P159" i="7"/>
  <c r="Q159" i="7"/>
  <c r="R159" i="7"/>
  <c r="S159" i="7"/>
  <c r="T159" i="7"/>
  <c r="U159" i="7"/>
  <c r="V159" i="7"/>
  <c r="W159" i="7"/>
  <c r="X159" i="7"/>
  <c r="Y159" i="7"/>
  <c r="Z159" i="7"/>
  <c r="AA159" i="7"/>
  <c r="AB159" i="7"/>
  <c r="AC159" i="7"/>
  <c r="AD159" i="7"/>
  <c r="AE159" i="7"/>
  <c r="AF159" i="7"/>
  <c r="AG159" i="7"/>
  <c r="AH159" i="7"/>
  <c r="AI159" i="7"/>
  <c r="AJ159" i="7"/>
  <c r="AK159" i="7"/>
  <c r="AL159" i="7"/>
  <c r="AM159" i="7"/>
  <c r="AN159" i="7"/>
  <c r="AO159" i="7"/>
  <c r="AP159" i="7"/>
  <c r="AQ159" i="7"/>
  <c r="AR159" i="7"/>
  <c r="AS159" i="7"/>
  <c r="AT159" i="7"/>
  <c r="AU159" i="7"/>
  <c r="AV159" i="7"/>
  <c r="AW159" i="7"/>
  <c r="AX159" i="7"/>
  <c r="AY159" i="7"/>
  <c r="O160" i="7"/>
  <c r="P160" i="7"/>
  <c r="Q160" i="7"/>
  <c r="R160" i="7"/>
  <c r="S160" i="7"/>
  <c r="T160" i="7"/>
  <c r="U160" i="7"/>
  <c r="V160" i="7"/>
  <c r="W160" i="7"/>
  <c r="X160" i="7"/>
  <c r="Y160" i="7"/>
  <c r="Z160" i="7"/>
  <c r="AA160" i="7"/>
  <c r="AB160" i="7"/>
  <c r="AC160" i="7"/>
  <c r="AD160" i="7"/>
  <c r="AE160" i="7"/>
  <c r="AF160" i="7"/>
  <c r="AG160" i="7"/>
  <c r="AH160" i="7"/>
  <c r="AI160" i="7"/>
  <c r="AJ160" i="7"/>
  <c r="AK160" i="7"/>
  <c r="AL160" i="7"/>
  <c r="AM160" i="7"/>
  <c r="AN160" i="7"/>
  <c r="AO160" i="7"/>
  <c r="AP160" i="7"/>
  <c r="AQ160" i="7"/>
  <c r="AR160" i="7"/>
  <c r="AS160" i="7"/>
  <c r="AT160" i="7"/>
  <c r="AU160" i="7"/>
  <c r="AV160" i="7"/>
  <c r="AW160" i="7"/>
  <c r="AX160" i="7"/>
  <c r="AY160" i="7"/>
  <c r="O161" i="7"/>
  <c r="P161" i="7"/>
  <c r="Q161" i="7"/>
  <c r="R161" i="7"/>
  <c r="S161" i="7"/>
  <c r="T161" i="7"/>
  <c r="U161" i="7"/>
  <c r="V161" i="7"/>
  <c r="W161" i="7"/>
  <c r="X161" i="7"/>
  <c r="Y161" i="7"/>
  <c r="Z161" i="7"/>
  <c r="AA161" i="7"/>
  <c r="AB161" i="7"/>
  <c r="AC161" i="7"/>
  <c r="AD161" i="7"/>
  <c r="AE161" i="7"/>
  <c r="AF161" i="7"/>
  <c r="AG161" i="7"/>
  <c r="AH161" i="7"/>
  <c r="AI161" i="7"/>
  <c r="AJ161" i="7"/>
  <c r="AK161" i="7"/>
  <c r="AL161" i="7"/>
  <c r="AM161" i="7"/>
  <c r="AN161" i="7"/>
  <c r="AO161" i="7"/>
  <c r="AP161" i="7"/>
  <c r="AQ161" i="7"/>
  <c r="AR161" i="7"/>
  <c r="AS161" i="7"/>
  <c r="AT161" i="7"/>
  <c r="AU161" i="7"/>
  <c r="AV161" i="7"/>
  <c r="AW161" i="7"/>
  <c r="AX161" i="7"/>
  <c r="AY161" i="7"/>
  <c r="O162" i="7"/>
  <c r="P162" i="7"/>
  <c r="Q162" i="7"/>
  <c r="R162" i="7"/>
  <c r="S162" i="7"/>
  <c r="T162" i="7"/>
  <c r="U162" i="7"/>
  <c r="V162" i="7"/>
  <c r="W162" i="7"/>
  <c r="X162" i="7"/>
  <c r="Y162" i="7"/>
  <c r="Z162" i="7"/>
  <c r="AA162" i="7"/>
  <c r="AB162" i="7"/>
  <c r="AC162" i="7"/>
  <c r="AD162" i="7"/>
  <c r="AE162" i="7"/>
  <c r="AF162" i="7"/>
  <c r="AG162" i="7"/>
  <c r="AH162" i="7"/>
  <c r="AI162" i="7"/>
  <c r="AJ162" i="7"/>
  <c r="AK162" i="7"/>
  <c r="AL162" i="7"/>
  <c r="AM162" i="7"/>
  <c r="AN162" i="7"/>
  <c r="AO162" i="7"/>
  <c r="AP162" i="7"/>
  <c r="AQ162" i="7"/>
  <c r="AR162" i="7"/>
  <c r="AS162" i="7"/>
  <c r="AT162" i="7"/>
  <c r="AU162" i="7"/>
  <c r="AV162" i="7"/>
  <c r="AW162" i="7"/>
  <c r="AX162" i="7"/>
  <c r="AY162" i="7"/>
  <c r="O163" i="7"/>
  <c r="P163" i="7"/>
  <c r="Q163" i="7"/>
  <c r="R163" i="7"/>
  <c r="S163" i="7"/>
  <c r="T163" i="7"/>
  <c r="U163" i="7"/>
  <c r="V163" i="7"/>
  <c r="W163" i="7"/>
  <c r="X163" i="7"/>
  <c r="Y163" i="7"/>
  <c r="Z163" i="7"/>
  <c r="AA163" i="7"/>
  <c r="AB163" i="7"/>
  <c r="AC163" i="7"/>
  <c r="AD163" i="7"/>
  <c r="AE163" i="7"/>
  <c r="AF163" i="7"/>
  <c r="AG163" i="7"/>
  <c r="AH163" i="7"/>
  <c r="AI163" i="7"/>
  <c r="AJ163" i="7"/>
  <c r="AK163" i="7"/>
  <c r="AL163" i="7"/>
  <c r="AM163" i="7"/>
  <c r="AN163" i="7"/>
  <c r="AO163" i="7"/>
  <c r="AP163" i="7"/>
  <c r="AQ163" i="7"/>
  <c r="AR163" i="7"/>
  <c r="AS163" i="7"/>
  <c r="AT163" i="7"/>
  <c r="AU163" i="7"/>
  <c r="AV163" i="7"/>
  <c r="AW163" i="7"/>
  <c r="AX163" i="7"/>
  <c r="AY163" i="7"/>
  <c r="O164" i="7"/>
  <c r="P164" i="7"/>
  <c r="Q164" i="7"/>
  <c r="R164" i="7"/>
  <c r="S164" i="7"/>
  <c r="T164" i="7"/>
  <c r="U164" i="7"/>
  <c r="V164" i="7"/>
  <c r="W164" i="7"/>
  <c r="X164" i="7"/>
  <c r="Y164" i="7"/>
  <c r="Z164" i="7"/>
  <c r="AA164" i="7"/>
  <c r="AB164" i="7"/>
  <c r="AC164" i="7"/>
  <c r="AD164" i="7"/>
  <c r="AE164" i="7"/>
  <c r="AF164" i="7"/>
  <c r="AG164" i="7"/>
  <c r="AH164" i="7"/>
  <c r="AI164" i="7"/>
  <c r="AJ164" i="7"/>
  <c r="AK164" i="7"/>
  <c r="AL164" i="7"/>
  <c r="AM164" i="7"/>
  <c r="AN164" i="7"/>
  <c r="AO164" i="7"/>
  <c r="AP164" i="7"/>
  <c r="AQ164" i="7"/>
  <c r="AR164" i="7"/>
  <c r="AS164" i="7"/>
  <c r="AT164" i="7"/>
  <c r="AU164" i="7"/>
  <c r="AV164" i="7"/>
  <c r="AW164" i="7"/>
  <c r="AX164" i="7"/>
  <c r="AY164" i="7"/>
  <c r="O165" i="7"/>
  <c r="P165" i="7"/>
  <c r="Q165" i="7"/>
  <c r="R165" i="7"/>
  <c r="S165" i="7"/>
  <c r="T165" i="7"/>
  <c r="U165" i="7"/>
  <c r="V165" i="7"/>
  <c r="W165" i="7"/>
  <c r="X165" i="7"/>
  <c r="Y165" i="7"/>
  <c r="Z165" i="7"/>
  <c r="AA165" i="7"/>
  <c r="AB165" i="7"/>
  <c r="AC165" i="7"/>
  <c r="AD165" i="7"/>
  <c r="AE165" i="7"/>
  <c r="AF165" i="7"/>
  <c r="AG165" i="7"/>
  <c r="AH165" i="7"/>
  <c r="AI165" i="7"/>
  <c r="AJ165" i="7"/>
  <c r="AK165" i="7"/>
  <c r="AL165" i="7"/>
  <c r="AM165" i="7"/>
  <c r="AN165" i="7"/>
  <c r="AO165" i="7"/>
  <c r="AP165" i="7"/>
  <c r="AQ165" i="7"/>
  <c r="AR165" i="7"/>
  <c r="AS165" i="7"/>
  <c r="AT165" i="7"/>
  <c r="AU165" i="7"/>
  <c r="AV165" i="7"/>
  <c r="AW165" i="7"/>
  <c r="AX165" i="7"/>
  <c r="AY165" i="7"/>
  <c r="O166" i="7"/>
  <c r="P166" i="7"/>
  <c r="Q166" i="7"/>
  <c r="R166" i="7"/>
  <c r="S166" i="7"/>
  <c r="T166" i="7"/>
  <c r="U166" i="7"/>
  <c r="V166" i="7"/>
  <c r="W166" i="7"/>
  <c r="X166" i="7"/>
  <c r="Y166" i="7"/>
  <c r="Z166" i="7"/>
  <c r="AA166" i="7"/>
  <c r="AB166" i="7"/>
  <c r="AC166" i="7"/>
  <c r="AD166" i="7"/>
  <c r="AE166" i="7"/>
  <c r="AF166" i="7"/>
  <c r="AG166" i="7"/>
  <c r="AH166" i="7"/>
  <c r="AI166" i="7"/>
  <c r="AJ166" i="7"/>
  <c r="AK166" i="7"/>
  <c r="AL166" i="7"/>
  <c r="AM166" i="7"/>
  <c r="AN166" i="7"/>
  <c r="AO166" i="7"/>
  <c r="AP166" i="7"/>
  <c r="AQ166" i="7"/>
  <c r="AR166" i="7"/>
  <c r="AS166" i="7"/>
  <c r="AT166" i="7"/>
  <c r="AU166" i="7"/>
  <c r="AV166" i="7"/>
  <c r="AW166" i="7"/>
  <c r="AX166" i="7"/>
  <c r="AY166" i="7"/>
  <c r="O167" i="7"/>
  <c r="P167" i="7"/>
  <c r="Q167" i="7"/>
  <c r="R167" i="7"/>
  <c r="S167" i="7"/>
  <c r="T167" i="7"/>
  <c r="U167" i="7"/>
  <c r="V167" i="7"/>
  <c r="W167" i="7"/>
  <c r="X167" i="7"/>
  <c r="Y167" i="7"/>
  <c r="Z167" i="7"/>
  <c r="AA167" i="7"/>
  <c r="AB167" i="7"/>
  <c r="AC167" i="7"/>
  <c r="AD167" i="7"/>
  <c r="AE167" i="7"/>
  <c r="AF167" i="7"/>
  <c r="AG167" i="7"/>
  <c r="AH167" i="7"/>
  <c r="AI167" i="7"/>
  <c r="AJ167" i="7"/>
  <c r="AK167" i="7"/>
  <c r="AL167" i="7"/>
  <c r="AM167" i="7"/>
  <c r="AN167" i="7"/>
  <c r="AO167" i="7"/>
  <c r="AP167" i="7"/>
  <c r="AQ167" i="7"/>
  <c r="AR167" i="7"/>
  <c r="AS167" i="7"/>
  <c r="AT167" i="7"/>
  <c r="AU167" i="7"/>
  <c r="AV167" i="7"/>
  <c r="AW167" i="7"/>
  <c r="AX167" i="7"/>
  <c r="AY167" i="7"/>
  <c r="O168" i="7"/>
  <c r="P168" i="7"/>
  <c r="Q168" i="7"/>
  <c r="R168" i="7"/>
  <c r="S168" i="7"/>
  <c r="T168" i="7"/>
  <c r="U168" i="7"/>
  <c r="V168" i="7"/>
  <c r="W168" i="7"/>
  <c r="X168" i="7"/>
  <c r="Y168" i="7"/>
  <c r="Z168" i="7"/>
  <c r="AA168" i="7"/>
  <c r="AB168" i="7"/>
  <c r="AC168" i="7"/>
  <c r="AD168" i="7"/>
  <c r="AE168" i="7"/>
  <c r="AF168" i="7"/>
  <c r="AG168" i="7"/>
  <c r="AH168" i="7"/>
  <c r="AI168" i="7"/>
  <c r="AJ168" i="7"/>
  <c r="AK168" i="7"/>
  <c r="AL168" i="7"/>
  <c r="AM168" i="7"/>
  <c r="AN168" i="7"/>
  <c r="AO168" i="7"/>
  <c r="AP168" i="7"/>
  <c r="AQ168" i="7"/>
  <c r="AR168" i="7"/>
  <c r="AS168" i="7"/>
  <c r="AT168" i="7"/>
  <c r="AU168" i="7"/>
  <c r="AV168" i="7"/>
  <c r="AW168" i="7"/>
  <c r="AX168" i="7"/>
  <c r="AY168" i="7"/>
  <c r="O169" i="7"/>
  <c r="P169" i="7"/>
  <c r="Q169" i="7"/>
  <c r="R169" i="7"/>
  <c r="S169" i="7"/>
  <c r="T169" i="7"/>
  <c r="U169" i="7"/>
  <c r="V169" i="7"/>
  <c r="W169" i="7"/>
  <c r="X169" i="7"/>
  <c r="Y169" i="7"/>
  <c r="Z169" i="7"/>
  <c r="AA169" i="7"/>
  <c r="AB169" i="7"/>
  <c r="AC169" i="7"/>
  <c r="AD169" i="7"/>
  <c r="AE169" i="7"/>
  <c r="AF169" i="7"/>
  <c r="AG169" i="7"/>
  <c r="AH169" i="7"/>
  <c r="AI169" i="7"/>
  <c r="AJ169" i="7"/>
  <c r="AK169" i="7"/>
  <c r="AL169" i="7"/>
  <c r="AM169" i="7"/>
  <c r="AN169" i="7"/>
  <c r="AO169" i="7"/>
  <c r="AP169" i="7"/>
  <c r="AQ169" i="7"/>
  <c r="AR169" i="7"/>
  <c r="AS169" i="7"/>
  <c r="AT169" i="7"/>
  <c r="AU169" i="7"/>
  <c r="AV169" i="7"/>
  <c r="AW169" i="7"/>
  <c r="AX169" i="7"/>
  <c r="AY169" i="7"/>
  <c r="O170" i="7"/>
  <c r="P170" i="7"/>
  <c r="Q170" i="7"/>
  <c r="R170" i="7"/>
  <c r="S170" i="7"/>
  <c r="T170" i="7"/>
  <c r="U170" i="7"/>
  <c r="V170" i="7"/>
  <c r="W170" i="7"/>
  <c r="X170" i="7"/>
  <c r="Y170" i="7"/>
  <c r="Z170" i="7"/>
  <c r="AA170" i="7"/>
  <c r="AB170" i="7"/>
  <c r="AC170" i="7"/>
  <c r="AD170" i="7"/>
  <c r="AE170" i="7"/>
  <c r="AF170" i="7"/>
  <c r="AG170" i="7"/>
  <c r="AH170" i="7"/>
  <c r="AI170" i="7"/>
  <c r="AJ170" i="7"/>
  <c r="AK170" i="7"/>
  <c r="AL170" i="7"/>
  <c r="AM170" i="7"/>
  <c r="AN170" i="7"/>
  <c r="AO170" i="7"/>
  <c r="AP170" i="7"/>
  <c r="AQ170" i="7"/>
  <c r="AR170" i="7"/>
  <c r="AS170" i="7"/>
  <c r="AT170" i="7"/>
  <c r="AU170" i="7"/>
  <c r="AV170" i="7"/>
  <c r="AW170" i="7"/>
  <c r="AX170" i="7"/>
  <c r="AY170" i="7"/>
  <c r="O171" i="7"/>
  <c r="P171" i="7"/>
  <c r="Q171" i="7"/>
  <c r="R171" i="7"/>
  <c r="S171" i="7"/>
  <c r="T171" i="7"/>
  <c r="U171" i="7"/>
  <c r="V171" i="7"/>
  <c r="W171" i="7"/>
  <c r="X171" i="7"/>
  <c r="Y171" i="7"/>
  <c r="Z171" i="7"/>
  <c r="AA171" i="7"/>
  <c r="AB171" i="7"/>
  <c r="AC171" i="7"/>
  <c r="AD171" i="7"/>
  <c r="AE171" i="7"/>
  <c r="AF171" i="7"/>
  <c r="AG171" i="7"/>
  <c r="AH171" i="7"/>
  <c r="AI171" i="7"/>
  <c r="AJ171" i="7"/>
  <c r="AK171" i="7"/>
  <c r="AL171" i="7"/>
  <c r="AM171" i="7"/>
  <c r="AN171" i="7"/>
  <c r="AO171" i="7"/>
  <c r="AP171" i="7"/>
  <c r="AQ171" i="7"/>
  <c r="AR171" i="7"/>
  <c r="AS171" i="7"/>
  <c r="AT171" i="7"/>
  <c r="AU171" i="7"/>
  <c r="AV171" i="7"/>
  <c r="AW171" i="7"/>
  <c r="AX171" i="7"/>
  <c r="AY171" i="7"/>
  <c r="O172" i="7"/>
  <c r="P172" i="7"/>
  <c r="Q172" i="7"/>
  <c r="R172" i="7"/>
  <c r="S172" i="7"/>
  <c r="T172" i="7"/>
  <c r="U172" i="7"/>
  <c r="V172" i="7"/>
  <c r="W172" i="7"/>
  <c r="X172" i="7"/>
  <c r="Y172" i="7"/>
  <c r="Z172" i="7"/>
  <c r="AA172" i="7"/>
  <c r="AB172" i="7"/>
  <c r="AC172" i="7"/>
  <c r="AD172" i="7"/>
  <c r="AE172" i="7"/>
  <c r="AF172" i="7"/>
  <c r="AG172" i="7"/>
  <c r="AH172" i="7"/>
  <c r="AI172" i="7"/>
  <c r="AJ172" i="7"/>
  <c r="AK172" i="7"/>
  <c r="AL172" i="7"/>
  <c r="AM172" i="7"/>
  <c r="AN172" i="7"/>
  <c r="AO172" i="7"/>
  <c r="AP172" i="7"/>
  <c r="AQ172" i="7"/>
  <c r="AR172" i="7"/>
  <c r="AS172" i="7"/>
  <c r="AT172" i="7"/>
  <c r="AU172" i="7"/>
  <c r="AV172" i="7"/>
  <c r="AW172" i="7"/>
  <c r="AX172" i="7"/>
  <c r="AY172" i="7"/>
  <c r="O173" i="7"/>
  <c r="P173" i="7"/>
  <c r="Q173" i="7"/>
  <c r="R173" i="7"/>
  <c r="S173" i="7"/>
  <c r="T173" i="7"/>
  <c r="U173" i="7"/>
  <c r="V173" i="7"/>
  <c r="W173" i="7"/>
  <c r="X173" i="7"/>
  <c r="Y173" i="7"/>
  <c r="Z173" i="7"/>
  <c r="AA173" i="7"/>
  <c r="AB173" i="7"/>
  <c r="AC173" i="7"/>
  <c r="AD173" i="7"/>
  <c r="AE173" i="7"/>
  <c r="AF173" i="7"/>
  <c r="AG173" i="7"/>
  <c r="AH173" i="7"/>
  <c r="AI173" i="7"/>
  <c r="AJ173" i="7"/>
  <c r="AK173" i="7"/>
  <c r="AL173" i="7"/>
  <c r="AM173" i="7"/>
  <c r="AN173" i="7"/>
  <c r="AO173" i="7"/>
  <c r="AP173" i="7"/>
  <c r="AQ173" i="7"/>
  <c r="AR173" i="7"/>
  <c r="AS173" i="7"/>
  <c r="AT173" i="7"/>
  <c r="AU173" i="7"/>
  <c r="AV173" i="7"/>
  <c r="AW173" i="7"/>
  <c r="AX173" i="7"/>
  <c r="AY173" i="7"/>
  <c r="O174" i="7"/>
  <c r="P174" i="7"/>
  <c r="Q174" i="7"/>
  <c r="R174" i="7"/>
  <c r="S174" i="7"/>
  <c r="T174" i="7"/>
  <c r="U174" i="7"/>
  <c r="V174" i="7"/>
  <c r="W174" i="7"/>
  <c r="X174" i="7"/>
  <c r="Y174" i="7"/>
  <c r="Z174" i="7"/>
  <c r="AA174" i="7"/>
  <c r="AB174" i="7"/>
  <c r="AC174" i="7"/>
  <c r="AD174" i="7"/>
  <c r="AE174" i="7"/>
  <c r="AF174" i="7"/>
  <c r="AG174" i="7"/>
  <c r="AH174" i="7"/>
  <c r="AI174" i="7"/>
  <c r="AJ174" i="7"/>
  <c r="AK174" i="7"/>
  <c r="AL174" i="7"/>
  <c r="AM174" i="7"/>
  <c r="AN174" i="7"/>
  <c r="AO174" i="7"/>
  <c r="AP174" i="7"/>
  <c r="AQ174" i="7"/>
  <c r="AR174" i="7"/>
  <c r="AS174" i="7"/>
  <c r="AT174" i="7"/>
  <c r="AU174" i="7"/>
  <c r="AV174" i="7"/>
  <c r="AW174" i="7"/>
  <c r="AX174" i="7"/>
  <c r="AY174" i="7"/>
  <c r="O175" i="7"/>
  <c r="P175" i="7"/>
  <c r="Q175" i="7"/>
  <c r="R175" i="7"/>
  <c r="S175" i="7"/>
  <c r="T175" i="7"/>
  <c r="U175" i="7"/>
  <c r="V175" i="7"/>
  <c r="W175" i="7"/>
  <c r="X175" i="7"/>
  <c r="Y175" i="7"/>
  <c r="Z175" i="7"/>
  <c r="AA175" i="7"/>
  <c r="AB175" i="7"/>
  <c r="AC175" i="7"/>
  <c r="AD175" i="7"/>
  <c r="AE175" i="7"/>
  <c r="AF175" i="7"/>
  <c r="AG175" i="7"/>
  <c r="AH175" i="7"/>
  <c r="AI175" i="7"/>
  <c r="AJ175" i="7"/>
  <c r="AK175" i="7"/>
  <c r="AL175" i="7"/>
  <c r="AM175" i="7"/>
  <c r="AN175" i="7"/>
  <c r="AO175" i="7"/>
  <c r="AP175" i="7"/>
  <c r="AQ175" i="7"/>
  <c r="AR175" i="7"/>
  <c r="AS175" i="7"/>
  <c r="AT175" i="7"/>
  <c r="AU175" i="7"/>
  <c r="AV175" i="7"/>
  <c r="AW175" i="7"/>
  <c r="AX175" i="7"/>
  <c r="AY175" i="7"/>
  <c r="O176" i="7"/>
  <c r="P176" i="7"/>
  <c r="Q176" i="7"/>
  <c r="R176" i="7"/>
  <c r="S176" i="7"/>
  <c r="T176" i="7"/>
  <c r="U176" i="7"/>
  <c r="V176" i="7"/>
  <c r="W176" i="7"/>
  <c r="X176" i="7"/>
  <c r="Y176" i="7"/>
  <c r="Z176" i="7"/>
  <c r="AA176" i="7"/>
  <c r="AB176" i="7"/>
  <c r="AC176" i="7"/>
  <c r="AD176" i="7"/>
  <c r="AE176" i="7"/>
  <c r="AF176" i="7"/>
  <c r="AG176" i="7"/>
  <c r="AH176" i="7"/>
  <c r="AI176" i="7"/>
  <c r="AJ176" i="7"/>
  <c r="AK176" i="7"/>
  <c r="AL176" i="7"/>
  <c r="AM176" i="7"/>
  <c r="AN176" i="7"/>
  <c r="AO176" i="7"/>
  <c r="AP176" i="7"/>
  <c r="AQ176" i="7"/>
  <c r="AR176" i="7"/>
  <c r="AS176" i="7"/>
  <c r="AT176" i="7"/>
  <c r="AU176" i="7"/>
  <c r="AV176" i="7"/>
  <c r="AW176" i="7"/>
  <c r="AX176" i="7"/>
  <c r="AY176" i="7"/>
  <c r="O177" i="7"/>
  <c r="P177" i="7"/>
  <c r="Q177" i="7"/>
  <c r="R177" i="7"/>
  <c r="S177" i="7"/>
  <c r="T177" i="7"/>
  <c r="U177" i="7"/>
  <c r="V177" i="7"/>
  <c r="W177" i="7"/>
  <c r="X177" i="7"/>
  <c r="Y177" i="7"/>
  <c r="Z177" i="7"/>
  <c r="AA177" i="7"/>
  <c r="AB177" i="7"/>
  <c r="AC177" i="7"/>
  <c r="AD177" i="7"/>
  <c r="AE177" i="7"/>
  <c r="AF177" i="7"/>
  <c r="AG177" i="7"/>
  <c r="AH177" i="7"/>
  <c r="AI177" i="7"/>
  <c r="AJ177" i="7"/>
  <c r="AK177" i="7"/>
  <c r="AL177" i="7"/>
  <c r="AM177" i="7"/>
  <c r="AN177" i="7"/>
  <c r="AO177" i="7"/>
  <c r="AP177" i="7"/>
  <c r="AQ177" i="7"/>
  <c r="AR177" i="7"/>
  <c r="AS177" i="7"/>
  <c r="AT177" i="7"/>
  <c r="AU177" i="7"/>
  <c r="AV177" i="7"/>
  <c r="AW177" i="7"/>
  <c r="AX177" i="7"/>
  <c r="AY177" i="7"/>
  <c r="O178" i="7"/>
  <c r="P178" i="7"/>
  <c r="Q178" i="7"/>
  <c r="R178" i="7"/>
  <c r="S178" i="7"/>
  <c r="T178" i="7"/>
  <c r="U178" i="7"/>
  <c r="V178" i="7"/>
  <c r="W178" i="7"/>
  <c r="X178" i="7"/>
  <c r="Y178" i="7"/>
  <c r="Z178" i="7"/>
  <c r="AA178" i="7"/>
  <c r="AB178" i="7"/>
  <c r="AC178" i="7"/>
  <c r="AD178" i="7"/>
  <c r="AE178" i="7"/>
  <c r="AF178" i="7"/>
  <c r="AG178" i="7"/>
  <c r="AH178" i="7"/>
  <c r="AI178" i="7"/>
  <c r="AJ178" i="7"/>
  <c r="AK178" i="7"/>
  <c r="AL178" i="7"/>
  <c r="AM178" i="7"/>
  <c r="AN178" i="7"/>
  <c r="AO178" i="7"/>
  <c r="AP178" i="7"/>
  <c r="AQ178" i="7"/>
  <c r="AR178" i="7"/>
  <c r="AS178" i="7"/>
  <c r="AT178" i="7"/>
  <c r="AU178" i="7"/>
  <c r="AV178" i="7"/>
  <c r="AW178" i="7"/>
  <c r="AX178" i="7"/>
  <c r="AY178" i="7"/>
  <c r="O179" i="7"/>
  <c r="P179" i="7"/>
  <c r="Q179" i="7"/>
  <c r="R179" i="7"/>
  <c r="S179" i="7"/>
  <c r="T179" i="7"/>
  <c r="U179" i="7"/>
  <c r="V179" i="7"/>
  <c r="W179" i="7"/>
  <c r="X179" i="7"/>
  <c r="Y179" i="7"/>
  <c r="Z179" i="7"/>
  <c r="AA179" i="7"/>
  <c r="AB179" i="7"/>
  <c r="AC179" i="7"/>
  <c r="AD179" i="7"/>
  <c r="AE179" i="7"/>
  <c r="AF179" i="7"/>
  <c r="AG179" i="7"/>
  <c r="AH179" i="7"/>
  <c r="AI179" i="7"/>
  <c r="AJ179" i="7"/>
  <c r="AK179" i="7"/>
  <c r="AL179" i="7"/>
  <c r="AM179" i="7"/>
  <c r="AN179" i="7"/>
  <c r="AO179" i="7"/>
  <c r="AP179" i="7"/>
  <c r="AQ179" i="7"/>
  <c r="AR179" i="7"/>
  <c r="AS179" i="7"/>
  <c r="AT179" i="7"/>
  <c r="AU179" i="7"/>
  <c r="AV179" i="7"/>
  <c r="AW179" i="7"/>
  <c r="AX179" i="7"/>
  <c r="AY179" i="7"/>
  <c r="O180" i="7"/>
  <c r="P180" i="7"/>
  <c r="Q180" i="7"/>
  <c r="R180" i="7"/>
  <c r="S180" i="7"/>
  <c r="T180" i="7"/>
  <c r="U180" i="7"/>
  <c r="V180" i="7"/>
  <c r="W180" i="7"/>
  <c r="X180" i="7"/>
  <c r="Y180" i="7"/>
  <c r="Z180" i="7"/>
  <c r="AA180" i="7"/>
  <c r="AB180" i="7"/>
  <c r="AC180" i="7"/>
  <c r="AD180" i="7"/>
  <c r="AE180" i="7"/>
  <c r="AF180" i="7"/>
  <c r="AG180" i="7"/>
  <c r="AH180" i="7"/>
  <c r="AI180" i="7"/>
  <c r="AJ180" i="7"/>
  <c r="AK180" i="7"/>
  <c r="AL180" i="7"/>
  <c r="AM180" i="7"/>
  <c r="AN180" i="7"/>
  <c r="AO180" i="7"/>
  <c r="AP180" i="7"/>
  <c r="AQ180" i="7"/>
  <c r="AR180" i="7"/>
  <c r="AS180" i="7"/>
  <c r="AT180" i="7"/>
  <c r="AU180" i="7"/>
  <c r="AV180" i="7"/>
  <c r="AW180" i="7"/>
  <c r="AX180" i="7"/>
  <c r="AY180" i="7"/>
  <c r="O181" i="7"/>
  <c r="P181" i="7"/>
  <c r="Q181" i="7"/>
  <c r="R181" i="7"/>
  <c r="S181" i="7"/>
  <c r="T181" i="7"/>
  <c r="U181" i="7"/>
  <c r="V181" i="7"/>
  <c r="W181" i="7"/>
  <c r="X181" i="7"/>
  <c r="Y181" i="7"/>
  <c r="Z181" i="7"/>
  <c r="AA181" i="7"/>
  <c r="AB181" i="7"/>
  <c r="AC181" i="7"/>
  <c r="AD181" i="7"/>
  <c r="AE181" i="7"/>
  <c r="AF181" i="7"/>
  <c r="AG181" i="7"/>
  <c r="AH181" i="7"/>
  <c r="AI181" i="7"/>
  <c r="AJ181" i="7"/>
  <c r="AK181" i="7"/>
  <c r="AL181" i="7"/>
  <c r="AM181" i="7"/>
  <c r="AN181" i="7"/>
  <c r="AO181" i="7"/>
  <c r="AP181" i="7"/>
  <c r="AQ181" i="7"/>
  <c r="AR181" i="7"/>
  <c r="AS181" i="7"/>
  <c r="AT181" i="7"/>
  <c r="AU181" i="7"/>
  <c r="AV181" i="7"/>
  <c r="AW181" i="7"/>
  <c r="AX181" i="7"/>
  <c r="AY181" i="7"/>
  <c r="O182" i="7"/>
  <c r="P182" i="7"/>
  <c r="Q182" i="7"/>
  <c r="R182" i="7"/>
  <c r="S182" i="7"/>
  <c r="T182" i="7"/>
  <c r="U182" i="7"/>
  <c r="V182" i="7"/>
  <c r="W182" i="7"/>
  <c r="X182" i="7"/>
  <c r="Y182" i="7"/>
  <c r="Z182" i="7"/>
  <c r="AA182" i="7"/>
  <c r="AB182" i="7"/>
  <c r="AC182" i="7"/>
  <c r="AD182" i="7"/>
  <c r="AE182" i="7"/>
  <c r="AF182" i="7"/>
  <c r="AG182" i="7"/>
  <c r="AH182" i="7"/>
  <c r="AI182" i="7"/>
  <c r="AJ182" i="7"/>
  <c r="AK182" i="7"/>
  <c r="AL182" i="7"/>
  <c r="AM182" i="7"/>
  <c r="AN182" i="7"/>
  <c r="AO182" i="7"/>
  <c r="AP182" i="7"/>
  <c r="AQ182" i="7"/>
  <c r="AR182" i="7"/>
  <c r="AS182" i="7"/>
  <c r="AT182" i="7"/>
  <c r="AU182" i="7"/>
  <c r="AV182" i="7"/>
  <c r="AW182" i="7"/>
  <c r="AX182" i="7"/>
  <c r="AY182" i="7"/>
  <c r="O183" i="7"/>
  <c r="P183" i="7"/>
  <c r="Q183" i="7"/>
  <c r="R183" i="7"/>
  <c r="S183" i="7"/>
  <c r="T183" i="7"/>
  <c r="U183" i="7"/>
  <c r="V183" i="7"/>
  <c r="W183" i="7"/>
  <c r="X183" i="7"/>
  <c r="Y183" i="7"/>
  <c r="Z183" i="7"/>
  <c r="AA183" i="7"/>
  <c r="AB183" i="7"/>
  <c r="AC183" i="7"/>
  <c r="AD183" i="7"/>
  <c r="AE183" i="7"/>
  <c r="AF183" i="7"/>
  <c r="AG183" i="7"/>
  <c r="AH183" i="7"/>
  <c r="AI183" i="7"/>
  <c r="AJ183" i="7"/>
  <c r="AK183" i="7"/>
  <c r="AL183" i="7"/>
  <c r="AM183" i="7"/>
  <c r="AN183" i="7"/>
  <c r="AO183" i="7"/>
  <c r="AP183" i="7"/>
  <c r="AQ183" i="7"/>
  <c r="AR183" i="7"/>
  <c r="AS183" i="7"/>
  <c r="AT183" i="7"/>
  <c r="AU183" i="7"/>
  <c r="AV183" i="7"/>
  <c r="AW183" i="7"/>
  <c r="AX183" i="7"/>
  <c r="AY183" i="7"/>
  <c r="O184" i="7"/>
  <c r="P184" i="7"/>
  <c r="Q184" i="7"/>
  <c r="R184" i="7"/>
  <c r="S184" i="7"/>
  <c r="T184" i="7"/>
  <c r="U184" i="7"/>
  <c r="V184" i="7"/>
  <c r="W184" i="7"/>
  <c r="X184" i="7"/>
  <c r="Y184" i="7"/>
  <c r="Z184" i="7"/>
  <c r="AA184" i="7"/>
  <c r="AB184" i="7"/>
  <c r="AC184" i="7"/>
  <c r="AD184" i="7"/>
  <c r="AE184" i="7"/>
  <c r="AF184" i="7"/>
  <c r="AG184" i="7"/>
  <c r="AH184" i="7"/>
  <c r="AI184" i="7"/>
  <c r="AJ184" i="7"/>
  <c r="AK184" i="7"/>
  <c r="AL184" i="7"/>
  <c r="AM184" i="7"/>
  <c r="AN184" i="7"/>
  <c r="AO184" i="7"/>
  <c r="AP184" i="7"/>
  <c r="AQ184" i="7"/>
  <c r="AR184" i="7"/>
  <c r="AS184" i="7"/>
  <c r="AT184" i="7"/>
  <c r="AU184" i="7"/>
  <c r="AV184" i="7"/>
  <c r="AW184" i="7"/>
  <c r="AX184" i="7"/>
  <c r="AY184" i="7"/>
  <c r="O185" i="7"/>
  <c r="P185" i="7"/>
  <c r="Q185" i="7"/>
  <c r="R185" i="7"/>
  <c r="S185" i="7"/>
  <c r="T185" i="7"/>
  <c r="U185" i="7"/>
  <c r="V185" i="7"/>
  <c r="W185" i="7"/>
  <c r="X185" i="7"/>
  <c r="Y185" i="7"/>
  <c r="Z185" i="7"/>
  <c r="AA185" i="7"/>
  <c r="AB185" i="7"/>
  <c r="AC185" i="7"/>
  <c r="AD185" i="7"/>
  <c r="AE185" i="7"/>
  <c r="AF185" i="7"/>
  <c r="AG185" i="7"/>
  <c r="AH185" i="7"/>
  <c r="AI185" i="7"/>
  <c r="AJ185" i="7"/>
  <c r="AK185" i="7"/>
  <c r="AL185" i="7"/>
  <c r="AM185" i="7"/>
  <c r="AN185" i="7"/>
  <c r="AO185" i="7"/>
  <c r="AP185" i="7"/>
  <c r="AQ185" i="7"/>
  <c r="AR185" i="7"/>
  <c r="AS185" i="7"/>
  <c r="AT185" i="7"/>
  <c r="AU185" i="7"/>
  <c r="AV185" i="7"/>
  <c r="AW185" i="7"/>
  <c r="AX185" i="7"/>
  <c r="AY185" i="7"/>
  <c r="O186" i="7"/>
  <c r="P186" i="7"/>
  <c r="Q186" i="7"/>
  <c r="R186" i="7"/>
  <c r="S186" i="7"/>
  <c r="T186" i="7"/>
  <c r="U186" i="7"/>
  <c r="V186" i="7"/>
  <c r="W186" i="7"/>
  <c r="X186" i="7"/>
  <c r="Y186" i="7"/>
  <c r="Z186" i="7"/>
  <c r="AA186" i="7"/>
  <c r="AB186" i="7"/>
  <c r="AC186" i="7"/>
  <c r="AD186" i="7"/>
  <c r="AE186" i="7"/>
  <c r="AF186" i="7"/>
  <c r="AG186" i="7"/>
  <c r="AH186" i="7"/>
  <c r="AI186" i="7"/>
  <c r="AJ186" i="7"/>
  <c r="AK186" i="7"/>
  <c r="AL186" i="7"/>
  <c r="AM186" i="7"/>
  <c r="AN186" i="7"/>
  <c r="AO186" i="7"/>
  <c r="AP186" i="7"/>
  <c r="AQ186" i="7"/>
  <c r="AR186" i="7"/>
  <c r="AS186" i="7"/>
  <c r="AT186" i="7"/>
  <c r="AU186" i="7"/>
  <c r="AV186" i="7"/>
  <c r="AW186" i="7"/>
  <c r="AX186" i="7"/>
  <c r="AY186" i="7"/>
  <c r="O187" i="7"/>
  <c r="P187" i="7"/>
  <c r="Q187" i="7"/>
  <c r="R187" i="7"/>
  <c r="S187" i="7"/>
  <c r="T187" i="7"/>
  <c r="U187" i="7"/>
  <c r="V187" i="7"/>
  <c r="W187" i="7"/>
  <c r="X187" i="7"/>
  <c r="Y187" i="7"/>
  <c r="Z187" i="7"/>
  <c r="AA187" i="7"/>
  <c r="AB187" i="7"/>
  <c r="AC187" i="7"/>
  <c r="AD187" i="7"/>
  <c r="AE187" i="7"/>
  <c r="AF187" i="7"/>
  <c r="AG187" i="7"/>
  <c r="AH187" i="7"/>
  <c r="AI187" i="7"/>
  <c r="AJ187" i="7"/>
  <c r="AK187" i="7"/>
  <c r="AL187" i="7"/>
  <c r="AM187" i="7"/>
  <c r="AN187" i="7"/>
  <c r="AO187" i="7"/>
  <c r="AP187" i="7"/>
  <c r="AQ187" i="7"/>
  <c r="AR187" i="7"/>
  <c r="AS187" i="7"/>
  <c r="AT187" i="7"/>
  <c r="AU187" i="7"/>
  <c r="AV187" i="7"/>
  <c r="AW187" i="7"/>
  <c r="AX187" i="7"/>
  <c r="AY187" i="7"/>
  <c r="O188" i="7"/>
  <c r="P188" i="7"/>
  <c r="Q188" i="7"/>
  <c r="R188" i="7"/>
  <c r="S188" i="7"/>
  <c r="T188" i="7"/>
  <c r="U188" i="7"/>
  <c r="V188" i="7"/>
  <c r="W188" i="7"/>
  <c r="X188" i="7"/>
  <c r="Y188" i="7"/>
  <c r="Z188" i="7"/>
  <c r="AA188" i="7"/>
  <c r="AB188" i="7"/>
  <c r="AC188" i="7"/>
  <c r="AD188" i="7"/>
  <c r="AE188" i="7"/>
  <c r="AF188" i="7"/>
  <c r="AG188" i="7"/>
  <c r="AH188" i="7"/>
  <c r="AI188" i="7"/>
  <c r="AJ188" i="7"/>
  <c r="AK188" i="7"/>
  <c r="AL188" i="7"/>
  <c r="AM188" i="7"/>
  <c r="AN188" i="7"/>
  <c r="AO188" i="7"/>
  <c r="AP188" i="7"/>
  <c r="AQ188" i="7"/>
  <c r="AR188" i="7"/>
  <c r="AS188" i="7"/>
  <c r="AT188" i="7"/>
  <c r="AU188" i="7"/>
  <c r="AV188" i="7"/>
  <c r="AW188" i="7"/>
  <c r="AX188" i="7"/>
  <c r="AY188" i="7"/>
  <c r="O189" i="7"/>
  <c r="P189" i="7"/>
  <c r="Q189" i="7"/>
  <c r="R189" i="7"/>
  <c r="S189" i="7"/>
  <c r="T189" i="7"/>
  <c r="U189" i="7"/>
  <c r="V189" i="7"/>
  <c r="W189" i="7"/>
  <c r="X189" i="7"/>
  <c r="Y189" i="7"/>
  <c r="Z189" i="7"/>
  <c r="AA189" i="7"/>
  <c r="AB189" i="7"/>
  <c r="AC189" i="7"/>
  <c r="AD189" i="7"/>
  <c r="AE189" i="7"/>
  <c r="AF189" i="7"/>
  <c r="AG189" i="7"/>
  <c r="AH189" i="7"/>
  <c r="AI189" i="7"/>
  <c r="AJ189" i="7"/>
  <c r="AK189" i="7"/>
  <c r="AL189" i="7"/>
  <c r="AM189" i="7"/>
  <c r="AN189" i="7"/>
  <c r="AO189" i="7"/>
  <c r="AP189" i="7"/>
  <c r="AQ189" i="7"/>
  <c r="AR189" i="7"/>
  <c r="AS189" i="7"/>
  <c r="AT189" i="7"/>
  <c r="AU189" i="7"/>
  <c r="AV189" i="7"/>
  <c r="AW189" i="7"/>
  <c r="AX189" i="7"/>
  <c r="AY189" i="7"/>
  <c r="O190" i="7"/>
  <c r="P190" i="7"/>
  <c r="Q190" i="7"/>
  <c r="R190" i="7"/>
  <c r="S190" i="7"/>
  <c r="T190" i="7"/>
  <c r="U190" i="7"/>
  <c r="V190" i="7"/>
  <c r="W190" i="7"/>
  <c r="X190" i="7"/>
  <c r="Y190" i="7"/>
  <c r="Z190" i="7"/>
  <c r="AA190" i="7"/>
  <c r="AB190" i="7"/>
  <c r="AC190" i="7"/>
  <c r="AD190" i="7"/>
  <c r="AE190" i="7"/>
  <c r="AF190" i="7"/>
  <c r="AG190" i="7"/>
  <c r="AH190" i="7"/>
  <c r="AI190" i="7"/>
  <c r="AJ190" i="7"/>
  <c r="AK190" i="7"/>
  <c r="AL190" i="7"/>
  <c r="AM190" i="7"/>
  <c r="AN190" i="7"/>
  <c r="AO190" i="7"/>
  <c r="AP190" i="7"/>
  <c r="AQ190" i="7"/>
  <c r="AR190" i="7"/>
  <c r="AS190" i="7"/>
  <c r="AT190" i="7"/>
  <c r="AU190" i="7"/>
  <c r="AV190" i="7"/>
  <c r="AW190" i="7"/>
  <c r="AX190" i="7"/>
  <c r="AY190" i="7"/>
  <c r="O191" i="7"/>
  <c r="P191" i="7"/>
  <c r="Q191" i="7"/>
  <c r="R191" i="7"/>
  <c r="S191" i="7"/>
  <c r="T191" i="7"/>
  <c r="U191" i="7"/>
  <c r="V191" i="7"/>
  <c r="W191" i="7"/>
  <c r="X191" i="7"/>
  <c r="Y191" i="7"/>
  <c r="Z191" i="7"/>
  <c r="AA191" i="7"/>
  <c r="AB191" i="7"/>
  <c r="AC191" i="7"/>
  <c r="AD191" i="7"/>
  <c r="AE191" i="7"/>
  <c r="AF191" i="7"/>
  <c r="AG191" i="7"/>
  <c r="AH191" i="7"/>
  <c r="AI191" i="7"/>
  <c r="AJ191" i="7"/>
  <c r="AK191" i="7"/>
  <c r="AL191" i="7"/>
  <c r="AM191" i="7"/>
  <c r="AN191" i="7"/>
  <c r="AO191" i="7"/>
  <c r="AP191" i="7"/>
  <c r="AQ191" i="7"/>
  <c r="AR191" i="7"/>
  <c r="AS191" i="7"/>
  <c r="AT191" i="7"/>
  <c r="AU191" i="7"/>
  <c r="AV191" i="7"/>
  <c r="AW191" i="7"/>
  <c r="AX191" i="7"/>
  <c r="AY191" i="7"/>
  <c r="O192" i="7"/>
  <c r="P192" i="7"/>
  <c r="Q192" i="7"/>
  <c r="R192" i="7"/>
  <c r="S192" i="7"/>
  <c r="T192" i="7"/>
  <c r="U192" i="7"/>
  <c r="V192" i="7"/>
  <c r="W192" i="7"/>
  <c r="X192" i="7"/>
  <c r="Y192" i="7"/>
  <c r="Z192" i="7"/>
  <c r="AA192" i="7"/>
  <c r="AB192" i="7"/>
  <c r="AC192" i="7"/>
  <c r="AD192" i="7"/>
  <c r="AE192" i="7"/>
  <c r="AF192" i="7"/>
  <c r="AG192" i="7"/>
  <c r="AH192" i="7"/>
  <c r="AI192" i="7"/>
  <c r="AJ192" i="7"/>
  <c r="AK192" i="7"/>
  <c r="AL192" i="7"/>
  <c r="AM192" i="7"/>
  <c r="AN192" i="7"/>
  <c r="AO192" i="7"/>
  <c r="AP192" i="7"/>
  <c r="AQ192" i="7"/>
  <c r="AR192" i="7"/>
  <c r="AS192" i="7"/>
  <c r="AT192" i="7"/>
  <c r="AU192" i="7"/>
  <c r="AV192" i="7"/>
  <c r="AW192" i="7"/>
  <c r="AX192" i="7"/>
  <c r="AY192" i="7"/>
  <c r="O193" i="7"/>
  <c r="P193" i="7"/>
  <c r="Q193" i="7"/>
  <c r="R193" i="7"/>
  <c r="S193" i="7"/>
  <c r="T193" i="7"/>
  <c r="U193" i="7"/>
  <c r="V193" i="7"/>
  <c r="W193" i="7"/>
  <c r="X193" i="7"/>
  <c r="Y193" i="7"/>
  <c r="Z193" i="7"/>
  <c r="AA193" i="7"/>
  <c r="AB193" i="7"/>
  <c r="AC193" i="7"/>
  <c r="AD193" i="7"/>
  <c r="AE193" i="7"/>
  <c r="AF193" i="7"/>
  <c r="AG193" i="7"/>
  <c r="AH193" i="7"/>
  <c r="AI193" i="7"/>
  <c r="AJ193" i="7"/>
  <c r="AK193" i="7"/>
  <c r="AL193" i="7"/>
  <c r="AM193" i="7"/>
  <c r="AN193" i="7"/>
  <c r="AO193" i="7"/>
  <c r="AP193" i="7"/>
  <c r="AQ193" i="7"/>
  <c r="AR193" i="7"/>
  <c r="AS193" i="7"/>
  <c r="AT193" i="7"/>
  <c r="AU193" i="7"/>
  <c r="AV193" i="7"/>
  <c r="AW193" i="7"/>
  <c r="AX193" i="7"/>
  <c r="AY193" i="7"/>
  <c r="O194" i="7"/>
  <c r="P194" i="7"/>
  <c r="Q194" i="7"/>
  <c r="R194" i="7"/>
  <c r="S194" i="7"/>
  <c r="T194" i="7"/>
  <c r="U194" i="7"/>
  <c r="V194" i="7"/>
  <c r="W194" i="7"/>
  <c r="X194" i="7"/>
  <c r="Y194" i="7"/>
  <c r="Z194" i="7"/>
  <c r="AA194" i="7"/>
  <c r="AB194" i="7"/>
  <c r="AC194" i="7"/>
  <c r="AD194" i="7"/>
  <c r="AE194" i="7"/>
  <c r="AF194" i="7"/>
  <c r="AG194" i="7"/>
  <c r="AH194" i="7"/>
  <c r="AI194" i="7"/>
  <c r="AJ194" i="7"/>
  <c r="AK194" i="7"/>
  <c r="AL194" i="7"/>
  <c r="AM194" i="7"/>
  <c r="AN194" i="7"/>
  <c r="AO194" i="7"/>
  <c r="AP194" i="7"/>
  <c r="AQ194" i="7"/>
  <c r="AR194" i="7"/>
  <c r="AS194" i="7"/>
  <c r="AT194" i="7"/>
  <c r="AU194" i="7"/>
  <c r="AV194" i="7"/>
  <c r="AW194" i="7"/>
  <c r="AX194" i="7"/>
  <c r="AY194" i="7"/>
  <c r="O195" i="7"/>
  <c r="P195" i="7"/>
  <c r="Q195" i="7"/>
  <c r="R195" i="7"/>
  <c r="S195" i="7"/>
  <c r="T195" i="7"/>
  <c r="U195" i="7"/>
  <c r="V195" i="7"/>
  <c r="W195" i="7"/>
  <c r="X195" i="7"/>
  <c r="Y195" i="7"/>
  <c r="Z195" i="7"/>
  <c r="AA195" i="7"/>
  <c r="AB195" i="7"/>
  <c r="AC195" i="7"/>
  <c r="AD195" i="7"/>
  <c r="AE195" i="7"/>
  <c r="AF195" i="7"/>
  <c r="AG195" i="7"/>
  <c r="AH195" i="7"/>
  <c r="AI195" i="7"/>
  <c r="AJ195" i="7"/>
  <c r="AK195" i="7"/>
  <c r="AL195" i="7"/>
  <c r="AM195" i="7"/>
  <c r="AN195" i="7"/>
  <c r="AO195" i="7"/>
  <c r="AP195" i="7"/>
  <c r="AQ195" i="7"/>
  <c r="AR195" i="7"/>
  <c r="AS195" i="7"/>
  <c r="AT195" i="7"/>
  <c r="AU195" i="7"/>
  <c r="AV195" i="7"/>
  <c r="AW195" i="7"/>
  <c r="AX195" i="7"/>
  <c r="AY195" i="7"/>
  <c r="O196" i="7"/>
  <c r="P196" i="7"/>
  <c r="Q196" i="7"/>
  <c r="R196" i="7"/>
  <c r="S196" i="7"/>
  <c r="T196" i="7"/>
  <c r="U196" i="7"/>
  <c r="V196" i="7"/>
  <c r="W196" i="7"/>
  <c r="X196" i="7"/>
  <c r="Y196" i="7"/>
  <c r="Z196" i="7"/>
  <c r="AA196" i="7"/>
  <c r="AB196" i="7"/>
  <c r="AC196" i="7"/>
  <c r="AD196" i="7"/>
  <c r="AE196" i="7"/>
  <c r="AF196" i="7"/>
  <c r="AG196" i="7"/>
  <c r="AH196" i="7"/>
  <c r="AI196" i="7"/>
  <c r="AJ196" i="7"/>
  <c r="AK196" i="7"/>
  <c r="AL196" i="7"/>
  <c r="AM196" i="7"/>
  <c r="AN196" i="7"/>
  <c r="AO196" i="7"/>
  <c r="AP196" i="7"/>
  <c r="AQ196" i="7"/>
  <c r="AR196" i="7"/>
  <c r="AS196" i="7"/>
  <c r="AT196" i="7"/>
  <c r="AU196" i="7"/>
  <c r="AV196" i="7"/>
  <c r="AW196" i="7"/>
  <c r="AX196" i="7"/>
  <c r="AY196" i="7"/>
  <c r="O197" i="7"/>
  <c r="P197" i="7"/>
  <c r="Q197" i="7"/>
  <c r="R197" i="7"/>
  <c r="S197" i="7"/>
  <c r="T197" i="7"/>
  <c r="U197" i="7"/>
  <c r="V197" i="7"/>
  <c r="W197" i="7"/>
  <c r="X197" i="7"/>
  <c r="Y197" i="7"/>
  <c r="Z197" i="7"/>
  <c r="AA197" i="7"/>
  <c r="AB197" i="7"/>
  <c r="AC197" i="7"/>
  <c r="AD197" i="7"/>
  <c r="AE197" i="7"/>
  <c r="AF197" i="7"/>
  <c r="AG197" i="7"/>
  <c r="AH197" i="7"/>
  <c r="AI197" i="7"/>
  <c r="AJ197" i="7"/>
  <c r="AK197" i="7"/>
  <c r="AL197" i="7"/>
  <c r="AM197" i="7"/>
  <c r="AN197" i="7"/>
  <c r="AO197" i="7"/>
  <c r="AP197" i="7"/>
  <c r="AQ197" i="7"/>
  <c r="AR197" i="7"/>
  <c r="AS197" i="7"/>
  <c r="AT197" i="7"/>
  <c r="AU197" i="7"/>
  <c r="AV197" i="7"/>
  <c r="AW197" i="7"/>
  <c r="AX197" i="7"/>
  <c r="AY197" i="7"/>
  <c r="O198" i="7"/>
  <c r="P198" i="7"/>
  <c r="Q198" i="7"/>
  <c r="R198" i="7"/>
  <c r="S198" i="7"/>
  <c r="T198" i="7"/>
  <c r="U198" i="7"/>
  <c r="V198" i="7"/>
  <c r="W198" i="7"/>
  <c r="X198" i="7"/>
  <c r="Y198" i="7"/>
  <c r="Z198" i="7"/>
  <c r="AA198" i="7"/>
  <c r="AB198" i="7"/>
  <c r="AC198" i="7"/>
  <c r="AD198" i="7"/>
  <c r="AE198" i="7"/>
  <c r="AF198" i="7"/>
  <c r="AG198" i="7"/>
  <c r="AH198" i="7"/>
  <c r="AI198" i="7"/>
  <c r="AJ198" i="7"/>
  <c r="AK198" i="7"/>
  <c r="AL198" i="7"/>
  <c r="AM198" i="7"/>
  <c r="AN198" i="7"/>
  <c r="AO198" i="7"/>
  <c r="AP198" i="7"/>
  <c r="AQ198" i="7"/>
  <c r="AR198" i="7"/>
  <c r="AS198" i="7"/>
  <c r="AT198" i="7"/>
  <c r="AU198" i="7"/>
  <c r="AV198" i="7"/>
  <c r="AW198" i="7"/>
  <c r="AX198" i="7"/>
  <c r="AY198" i="7"/>
  <c r="O199" i="7"/>
  <c r="P199" i="7"/>
  <c r="Q199" i="7"/>
  <c r="R199" i="7"/>
  <c r="S199" i="7"/>
  <c r="T199" i="7"/>
  <c r="U199" i="7"/>
  <c r="V199" i="7"/>
  <c r="W199" i="7"/>
  <c r="X199" i="7"/>
  <c r="Y199" i="7"/>
  <c r="Z199" i="7"/>
  <c r="AA199" i="7"/>
  <c r="AB199" i="7"/>
  <c r="AC199" i="7"/>
  <c r="AD199" i="7"/>
  <c r="AE199" i="7"/>
  <c r="AF199" i="7"/>
  <c r="AG199" i="7"/>
  <c r="AH199" i="7"/>
  <c r="AI199" i="7"/>
  <c r="AJ199" i="7"/>
  <c r="AK199" i="7"/>
  <c r="AL199" i="7"/>
  <c r="AM199" i="7"/>
  <c r="AN199" i="7"/>
  <c r="AO199" i="7"/>
  <c r="AP199" i="7"/>
  <c r="AQ199" i="7"/>
  <c r="AR199" i="7"/>
  <c r="AS199" i="7"/>
  <c r="AT199" i="7"/>
  <c r="AU199" i="7"/>
  <c r="AV199" i="7"/>
  <c r="AW199" i="7"/>
  <c r="AX199" i="7"/>
  <c r="AY199" i="7"/>
  <c r="O200" i="7"/>
  <c r="P200" i="7"/>
  <c r="Q200" i="7"/>
  <c r="R200" i="7"/>
  <c r="S200" i="7"/>
  <c r="T200" i="7"/>
  <c r="U200" i="7"/>
  <c r="V200" i="7"/>
  <c r="W200" i="7"/>
  <c r="X200" i="7"/>
  <c r="Y200" i="7"/>
  <c r="Z200" i="7"/>
  <c r="AA200" i="7"/>
  <c r="AB200" i="7"/>
  <c r="AC200" i="7"/>
  <c r="AD200" i="7"/>
  <c r="AE200" i="7"/>
  <c r="AF200" i="7"/>
  <c r="AG200" i="7"/>
  <c r="AH200" i="7"/>
  <c r="AI200" i="7"/>
  <c r="AJ200" i="7"/>
  <c r="AK200" i="7"/>
  <c r="AL200" i="7"/>
  <c r="AM200" i="7"/>
  <c r="AN200" i="7"/>
  <c r="AO200" i="7"/>
  <c r="AP200" i="7"/>
  <c r="AQ200" i="7"/>
  <c r="AR200" i="7"/>
  <c r="AS200" i="7"/>
  <c r="AT200" i="7"/>
  <c r="AU200" i="7"/>
  <c r="AV200" i="7"/>
  <c r="AW200" i="7"/>
  <c r="AX200" i="7"/>
  <c r="AY200" i="7"/>
  <c r="O201" i="7"/>
  <c r="P201" i="7"/>
  <c r="Q201" i="7"/>
  <c r="R201" i="7"/>
  <c r="S201" i="7"/>
  <c r="T201" i="7"/>
  <c r="U201" i="7"/>
  <c r="V201" i="7"/>
  <c r="W201" i="7"/>
  <c r="X201" i="7"/>
  <c r="Y201" i="7"/>
  <c r="Z201" i="7"/>
  <c r="AA201" i="7"/>
  <c r="AB201" i="7"/>
  <c r="AC201" i="7"/>
  <c r="AD201" i="7"/>
  <c r="AE201" i="7"/>
  <c r="AF201" i="7"/>
  <c r="AG201" i="7"/>
  <c r="AH201" i="7"/>
  <c r="AI201" i="7"/>
  <c r="AJ201" i="7"/>
  <c r="AK201" i="7"/>
  <c r="AL201" i="7"/>
  <c r="AM201" i="7"/>
  <c r="AN201" i="7"/>
  <c r="AO201" i="7"/>
  <c r="AP201" i="7"/>
  <c r="AQ201" i="7"/>
  <c r="AR201" i="7"/>
  <c r="AS201" i="7"/>
  <c r="AT201" i="7"/>
  <c r="AU201" i="7"/>
  <c r="AV201" i="7"/>
  <c r="AW201" i="7"/>
  <c r="AX201" i="7"/>
  <c r="AY201" i="7"/>
  <c r="O202" i="7"/>
  <c r="P202" i="7"/>
  <c r="Q202" i="7"/>
  <c r="R202" i="7"/>
  <c r="S202" i="7"/>
  <c r="T202" i="7"/>
  <c r="U202" i="7"/>
  <c r="V202" i="7"/>
  <c r="W202" i="7"/>
  <c r="X202" i="7"/>
  <c r="Y202" i="7"/>
  <c r="Z202" i="7"/>
  <c r="AA202" i="7"/>
  <c r="AB202" i="7"/>
  <c r="AC202" i="7"/>
  <c r="AD202" i="7"/>
  <c r="AE202" i="7"/>
  <c r="AF202" i="7"/>
  <c r="AG202" i="7"/>
  <c r="AH202" i="7"/>
  <c r="AI202" i="7"/>
  <c r="AJ202" i="7"/>
  <c r="AK202" i="7"/>
  <c r="AL202" i="7"/>
  <c r="AM202" i="7"/>
  <c r="AN202" i="7"/>
  <c r="AO202" i="7"/>
  <c r="AP202" i="7"/>
  <c r="AQ202" i="7"/>
  <c r="AR202" i="7"/>
  <c r="AS202" i="7"/>
  <c r="AT202" i="7"/>
  <c r="AU202" i="7"/>
  <c r="AV202" i="7"/>
  <c r="AW202" i="7"/>
  <c r="AX202" i="7"/>
  <c r="AY202" i="7"/>
  <c r="O203" i="7"/>
  <c r="P203" i="7"/>
  <c r="Q203" i="7"/>
  <c r="R203" i="7"/>
  <c r="S203" i="7"/>
  <c r="T203" i="7"/>
  <c r="U203" i="7"/>
  <c r="V203" i="7"/>
  <c r="W203" i="7"/>
  <c r="X203" i="7"/>
  <c r="Y203" i="7"/>
  <c r="Z203" i="7"/>
  <c r="AA203" i="7"/>
  <c r="AB203" i="7"/>
  <c r="AC203" i="7"/>
  <c r="AD203" i="7"/>
  <c r="AE203" i="7"/>
  <c r="AF203" i="7"/>
  <c r="AG203" i="7"/>
  <c r="AH203" i="7"/>
  <c r="AI203" i="7"/>
  <c r="AJ203" i="7"/>
  <c r="AK203" i="7"/>
  <c r="AL203" i="7"/>
  <c r="AM203" i="7"/>
  <c r="AN203" i="7"/>
  <c r="AO203" i="7"/>
  <c r="AP203" i="7"/>
  <c r="AQ203" i="7"/>
  <c r="AR203" i="7"/>
  <c r="AS203" i="7"/>
  <c r="AT203" i="7"/>
  <c r="AU203" i="7"/>
  <c r="AV203" i="7"/>
  <c r="AW203" i="7"/>
  <c r="AX203" i="7"/>
  <c r="AY203" i="7"/>
  <c r="O204" i="7"/>
  <c r="P204" i="7"/>
  <c r="Q204" i="7"/>
  <c r="R204" i="7"/>
  <c r="S204" i="7"/>
  <c r="T204" i="7"/>
  <c r="U204" i="7"/>
  <c r="V204" i="7"/>
  <c r="W204" i="7"/>
  <c r="X204" i="7"/>
  <c r="Y204" i="7"/>
  <c r="Z204" i="7"/>
  <c r="AA204" i="7"/>
  <c r="AB204" i="7"/>
  <c r="AC204" i="7"/>
  <c r="AD204" i="7"/>
  <c r="AE204" i="7"/>
  <c r="AF204" i="7"/>
  <c r="AG204" i="7"/>
  <c r="AH204" i="7"/>
  <c r="AI204" i="7"/>
  <c r="AJ204" i="7"/>
  <c r="AK204" i="7"/>
  <c r="AL204" i="7"/>
  <c r="AM204" i="7"/>
  <c r="AN204" i="7"/>
  <c r="AO204" i="7"/>
  <c r="AP204" i="7"/>
  <c r="AQ204" i="7"/>
  <c r="AR204" i="7"/>
  <c r="AS204" i="7"/>
  <c r="AT204" i="7"/>
  <c r="AU204" i="7"/>
  <c r="AV204" i="7"/>
  <c r="AW204" i="7"/>
  <c r="AX204" i="7"/>
  <c r="AY204" i="7"/>
  <c r="O205" i="7"/>
  <c r="P205" i="7"/>
  <c r="Q205" i="7"/>
  <c r="R205" i="7"/>
  <c r="S205" i="7"/>
  <c r="T205" i="7"/>
  <c r="U205" i="7"/>
  <c r="V205" i="7"/>
  <c r="W205" i="7"/>
  <c r="X205" i="7"/>
  <c r="Y205" i="7"/>
  <c r="Z205" i="7"/>
  <c r="AA205" i="7"/>
  <c r="AB205" i="7"/>
  <c r="AC205" i="7"/>
  <c r="AD205" i="7"/>
  <c r="AE205" i="7"/>
  <c r="AF205" i="7"/>
  <c r="AG205" i="7"/>
  <c r="AH205" i="7"/>
  <c r="AI205" i="7"/>
  <c r="AJ205" i="7"/>
  <c r="AK205" i="7"/>
  <c r="AL205" i="7"/>
  <c r="AM205" i="7"/>
  <c r="AN205" i="7"/>
  <c r="AO205" i="7"/>
  <c r="AP205" i="7"/>
  <c r="AQ205" i="7"/>
  <c r="AR205" i="7"/>
  <c r="AS205" i="7"/>
  <c r="AT205" i="7"/>
  <c r="AU205" i="7"/>
  <c r="AV205" i="7"/>
  <c r="AW205" i="7"/>
  <c r="AX205" i="7"/>
  <c r="AY205" i="7"/>
  <c r="O206" i="7"/>
  <c r="P206" i="7"/>
  <c r="Q206" i="7"/>
  <c r="R206" i="7"/>
  <c r="S206" i="7"/>
  <c r="T206" i="7"/>
  <c r="U206" i="7"/>
  <c r="V206" i="7"/>
  <c r="W206" i="7"/>
  <c r="X206" i="7"/>
  <c r="Y206" i="7"/>
  <c r="Z206" i="7"/>
  <c r="AA206" i="7"/>
  <c r="AB206" i="7"/>
  <c r="AC206" i="7"/>
  <c r="AD206" i="7"/>
  <c r="AE206" i="7"/>
  <c r="AF206" i="7"/>
  <c r="AG206" i="7"/>
  <c r="AH206" i="7"/>
  <c r="AI206" i="7"/>
  <c r="AJ206" i="7"/>
  <c r="AK206" i="7"/>
  <c r="AL206" i="7"/>
  <c r="AM206" i="7"/>
  <c r="AN206" i="7"/>
  <c r="AO206" i="7"/>
  <c r="AP206" i="7"/>
  <c r="AQ206" i="7"/>
  <c r="AR206" i="7"/>
  <c r="AS206" i="7"/>
  <c r="AT206" i="7"/>
  <c r="AU206" i="7"/>
  <c r="AV206" i="7"/>
  <c r="AW206" i="7"/>
  <c r="AX206" i="7"/>
  <c r="AY206" i="7"/>
  <c r="O207" i="7"/>
  <c r="P207" i="7"/>
  <c r="Q207" i="7"/>
  <c r="R207" i="7"/>
  <c r="S207" i="7"/>
  <c r="T207" i="7"/>
  <c r="U207" i="7"/>
  <c r="V207" i="7"/>
  <c r="W207" i="7"/>
  <c r="X207" i="7"/>
  <c r="Y207" i="7"/>
  <c r="Z207" i="7"/>
  <c r="AA207" i="7"/>
  <c r="AB207" i="7"/>
  <c r="AC207" i="7"/>
  <c r="AD207" i="7"/>
  <c r="AE207" i="7"/>
  <c r="AF207" i="7"/>
  <c r="AG207" i="7"/>
  <c r="AH207" i="7"/>
  <c r="AI207" i="7"/>
  <c r="AJ207" i="7"/>
  <c r="AK207" i="7"/>
  <c r="AL207" i="7"/>
  <c r="AM207" i="7"/>
  <c r="AN207" i="7"/>
  <c r="AO207" i="7"/>
  <c r="AP207" i="7"/>
  <c r="AQ207" i="7"/>
  <c r="AR207" i="7"/>
  <c r="AS207" i="7"/>
  <c r="AT207" i="7"/>
  <c r="AU207" i="7"/>
  <c r="AV207" i="7"/>
  <c r="AW207" i="7"/>
  <c r="AX207" i="7"/>
  <c r="AY207" i="7"/>
  <c r="O208" i="7"/>
  <c r="P208" i="7"/>
  <c r="Q208" i="7"/>
  <c r="R208" i="7"/>
  <c r="S208" i="7"/>
  <c r="T208" i="7"/>
  <c r="U208" i="7"/>
  <c r="V208" i="7"/>
  <c r="W208" i="7"/>
  <c r="X208" i="7"/>
  <c r="Y208" i="7"/>
  <c r="Z208" i="7"/>
  <c r="AA208" i="7"/>
  <c r="AB208" i="7"/>
  <c r="AC208" i="7"/>
  <c r="AD208" i="7"/>
  <c r="AE208" i="7"/>
  <c r="AF208" i="7"/>
  <c r="AG208" i="7"/>
  <c r="AH208" i="7"/>
  <c r="AI208" i="7"/>
  <c r="AJ208" i="7"/>
  <c r="AK208" i="7"/>
  <c r="AL208" i="7"/>
  <c r="AM208" i="7"/>
  <c r="AN208" i="7"/>
  <c r="AO208" i="7"/>
  <c r="AP208" i="7"/>
  <c r="AQ208" i="7"/>
  <c r="AR208" i="7"/>
  <c r="AS208" i="7"/>
  <c r="AT208" i="7"/>
  <c r="AU208" i="7"/>
  <c r="AV208" i="7"/>
  <c r="AW208" i="7"/>
  <c r="AX208" i="7"/>
  <c r="AY208" i="7"/>
  <c r="O209" i="7"/>
  <c r="P209" i="7"/>
  <c r="Q209" i="7"/>
  <c r="R209" i="7"/>
  <c r="S209" i="7"/>
  <c r="T209" i="7"/>
  <c r="U209" i="7"/>
  <c r="V209" i="7"/>
  <c r="W209" i="7"/>
  <c r="X209" i="7"/>
  <c r="Y209" i="7"/>
  <c r="Z209" i="7"/>
  <c r="AA209" i="7"/>
  <c r="AB209" i="7"/>
  <c r="AC209" i="7"/>
  <c r="AD209" i="7"/>
  <c r="AE209" i="7"/>
  <c r="AF209" i="7"/>
  <c r="AG209" i="7"/>
  <c r="AH209" i="7"/>
  <c r="AI209" i="7"/>
  <c r="AJ209" i="7"/>
  <c r="AK209" i="7"/>
  <c r="AL209" i="7"/>
  <c r="AM209" i="7"/>
  <c r="AN209" i="7"/>
  <c r="AO209" i="7"/>
  <c r="AP209" i="7"/>
  <c r="AQ209" i="7"/>
  <c r="AR209" i="7"/>
  <c r="AS209" i="7"/>
  <c r="AT209" i="7"/>
  <c r="AU209" i="7"/>
  <c r="AV209" i="7"/>
  <c r="AW209" i="7"/>
  <c r="AX209" i="7"/>
  <c r="AY209" i="7"/>
  <c r="O210" i="7"/>
  <c r="P210" i="7"/>
  <c r="Q210" i="7"/>
  <c r="R210" i="7"/>
  <c r="S210" i="7"/>
  <c r="T210" i="7"/>
  <c r="U210" i="7"/>
  <c r="V210" i="7"/>
  <c r="W210" i="7"/>
  <c r="X210" i="7"/>
  <c r="Y210" i="7"/>
  <c r="Z210" i="7"/>
  <c r="AA210" i="7"/>
  <c r="AB210" i="7"/>
  <c r="AC210" i="7"/>
  <c r="AD210" i="7"/>
  <c r="AE210" i="7"/>
  <c r="AF210" i="7"/>
  <c r="AG210" i="7"/>
  <c r="AH210" i="7"/>
  <c r="AI210" i="7"/>
  <c r="AJ210" i="7"/>
  <c r="AK210" i="7"/>
  <c r="AL210" i="7"/>
  <c r="AM210" i="7"/>
  <c r="AN210" i="7"/>
  <c r="AO210" i="7"/>
  <c r="AP210" i="7"/>
  <c r="AQ210" i="7"/>
  <c r="AR210" i="7"/>
  <c r="AS210" i="7"/>
  <c r="AT210" i="7"/>
  <c r="AU210" i="7"/>
  <c r="AV210" i="7"/>
  <c r="AW210" i="7"/>
  <c r="AX210" i="7"/>
  <c r="AY210" i="7"/>
  <c r="O211" i="7"/>
  <c r="P211" i="7"/>
  <c r="Q211" i="7"/>
  <c r="R211" i="7"/>
  <c r="S211" i="7"/>
  <c r="T211" i="7"/>
  <c r="U211" i="7"/>
  <c r="V211" i="7"/>
  <c r="W211" i="7"/>
  <c r="X211" i="7"/>
  <c r="Y211" i="7"/>
  <c r="Z211" i="7"/>
  <c r="AA211" i="7"/>
  <c r="AB211" i="7"/>
  <c r="AC211" i="7"/>
  <c r="AD211" i="7"/>
  <c r="AE211" i="7"/>
  <c r="AF211" i="7"/>
  <c r="AG211" i="7"/>
  <c r="AH211" i="7"/>
  <c r="AI211" i="7"/>
  <c r="AJ211" i="7"/>
  <c r="AK211" i="7"/>
  <c r="AL211" i="7"/>
  <c r="AM211" i="7"/>
  <c r="AN211" i="7"/>
  <c r="AO211" i="7"/>
  <c r="AP211" i="7"/>
  <c r="AQ211" i="7"/>
  <c r="AR211" i="7"/>
  <c r="AS211" i="7"/>
  <c r="AT211" i="7"/>
  <c r="AU211" i="7"/>
  <c r="AV211" i="7"/>
  <c r="AW211" i="7"/>
  <c r="AX211" i="7"/>
  <c r="AY211" i="7"/>
  <c r="O212" i="7"/>
  <c r="P212" i="7"/>
  <c r="Q212" i="7"/>
  <c r="R212" i="7"/>
  <c r="S212" i="7"/>
  <c r="T212" i="7"/>
  <c r="U212" i="7"/>
  <c r="V212" i="7"/>
  <c r="W212" i="7"/>
  <c r="X212" i="7"/>
  <c r="Y212" i="7"/>
  <c r="Z212" i="7"/>
  <c r="AA212" i="7"/>
  <c r="AB212" i="7"/>
  <c r="AC212" i="7"/>
  <c r="AD212" i="7"/>
  <c r="AE212" i="7"/>
  <c r="AF212" i="7"/>
  <c r="AG212" i="7"/>
  <c r="AH212" i="7"/>
  <c r="AI212" i="7"/>
  <c r="AJ212" i="7"/>
  <c r="AK212" i="7"/>
  <c r="AL212" i="7"/>
  <c r="AM212" i="7"/>
  <c r="AN212" i="7"/>
  <c r="AO212" i="7"/>
  <c r="AP212" i="7"/>
  <c r="AQ212" i="7"/>
  <c r="AR212" i="7"/>
  <c r="AS212" i="7"/>
  <c r="AT212" i="7"/>
  <c r="AU212" i="7"/>
  <c r="AV212" i="7"/>
  <c r="AW212" i="7"/>
  <c r="AX212" i="7"/>
  <c r="AY212" i="7"/>
  <c r="O213" i="7"/>
  <c r="P213" i="7"/>
  <c r="Q213" i="7"/>
  <c r="R213" i="7"/>
  <c r="S213" i="7"/>
  <c r="T213" i="7"/>
  <c r="U213" i="7"/>
  <c r="V213" i="7"/>
  <c r="W213" i="7"/>
  <c r="X213" i="7"/>
  <c r="Y213" i="7"/>
  <c r="Z213" i="7"/>
  <c r="AA213" i="7"/>
  <c r="AB213" i="7"/>
  <c r="AC213" i="7"/>
  <c r="AD213" i="7"/>
  <c r="AE213" i="7"/>
  <c r="AF213" i="7"/>
  <c r="AG213" i="7"/>
  <c r="AH213" i="7"/>
  <c r="AI213" i="7"/>
  <c r="AJ213" i="7"/>
  <c r="AK213" i="7"/>
  <c r="AL213" i="7"/>
  <c r="AM213" i="7"/>
  <c r="AN213" i="7"/>
  <c r="AO213" i="7"/>
  <c r="AP213" i="7"/>
  <c r="AQ213" i="7"/>
  <c r="AR213" i="7"/>
  <c r="AS213" i="7"/>
  <c r="AT213" i="7"/>
  <c r="AU213" i="7"/>
  <c r="AV213" i="7"/>
  <c r="AW213" i="7"/>
  <c r="AX213" i="7"/>
  <c r="AY213" i="7"/>
  <c r="O214" i="7"/>
  <c r="P214" i="7"/>
  <c r="Q214" i="7"/>
  <c r="R214" i="7"/>
  <c r="S214" i="7"/>
  <c r="T214" i="7"/>
  <c r="U214" i="7"/>
  <c r="V214" i="7"/>
  <c r="W214" i="7"/>
  <c r="X214" i="7"/>
  <c r="Y214" i="7"/>
  <c r="Z214" i="7"/>
  <c r="AA214" i="7"/>
  <c r="AB214" i="7"/>
  <c r="AC214" i="7"/>
  <c r="AD214" i="7"/>
  <c r="AE214" i="7"/>
  <c r="AF214" i="7"/>
  <c r="AG214" i="7"/>
  <c r="AH214" i="7"/>
  <c r="AI214" i="7"/>
  <c r="AJ214" i="7"/>
  <c r="AK214" i="7"/>
  <c r="AL214" i="7"/>
  <c r="AM214" i="7"/>
  <c r="AN214" i="7"/>
  <c r="AO214" i="7"/>
  <c r="AP214" i="7"/>
  <c r="AQ214" i="7"/>
  <c r="AR214" i="7"/>
  <c r="AS214" i="7"/>
  <c r="AT214" i="7"/>
  <c r="AU214" i="7"/>
  <c r="AV214" i="7"/>
  <c r="AW214" i="7"/>
  <c r="AX214" i="7"/>
  <c r="AY214" i="7"/>
  <c r="O215" i="7"/>
  <c r="P215" i="7"/>
  <c r="Q215" i="7"/>
  <c r="R215" i="7"/>
  <c r="S215" i="7"/>
  <c r="T215" i="7"/>
  <c r="U215" i="7"/>
  <c r="V215" i="7"/>
  <c r="W215" i="7"/>
  <c r="X215" i="7"/>
  <c r="Y215" i="7"/>
  <c r="Z215" i="7"/>
  <c r="AA215" i="7"/>
  <c r="AB215" i="7"/>
  <c r="AC215" i="7"/>
  <c r="AD215" i="7"/>
  <c r="AE215" i="7"/>
  <c r="AF215" i="7"/>
  <c r="AG215" i="7"/>
  <c r="AH215" i="7"/>
  <c r="AI215" i="7"/>
  <c r="AJ215" i="7"/>
  <c r="AK215" i="7"/>
  <c r="AL215" i="7"/>
  <c r="AM215" i="7"/>
  <c r="AN215" i="7"/>
  <c r="AO215" i="7"/>
  <c r="AP215" i="7"/>
  <c r="AQ215" i="7"/>
  <c r="AR215" i="7"/>
  <c r="AS215" i="7"/>
  <c r="AT215" i="7"/>
  <c r="AU215" i="7"/>
  <c r="AV215" i="7"/>
  <c r="AW215" i="7"/>
  <c r="AX215" i="7"/>
  <c r="AY215" i="7"/>
  <c r="O216" i="7"/>
  <c r="P216" i="7"/>
  <c r="Q216" i="7"/>
  <c r="R216" i="7"/>
  <c r="S216" i="7"/>
  <c r="T216" i="7"/>
  <c r="U216" i="7"/>
  <c r="V216" i="7"/>
  <c r="W216" i="7"/>
  <c r="X216" i="7"/>
  <c r="Y216" i="7"/>
  <c r="Z216" i="7"/>
  <c r="AA216" i="7"/>
  <c r="AB216" i="7"/>
  <c r="AC216" i="7"/>
  <c r="AD216" i="7"/>
  <c r="AE216" i="7"/>
  <c r="AF216" i="7"/>
  <c r="AG216" i="7"/>
  <c r="AH216" i="7"/>
  <c r="AI216" i="7"/>
  <c r="AJ216" i="7"/>
  <c r="AK216" i="7"/>
  <c r="AL216" i="7"/>
  <c r="AM216" i="7"/>
  <c r="AN216" i="7"/>
  <c r="AO216" i="7"/>
  <c r="AP216" i="7"/>
  <c r="AQ216" i="7"/>
  <c r="AR216" i="7"/>
  <c r="AS216" i="7"/>
  <c r="AT216" i="7"/>
  <c r="AU216" i="7"/>
  <c r="AV216" i="7"/>
  <c r="AW216" i="7"/>
  <c r="AX216" i="7"/>
  <c r="AY216" i="7"/>
  <c r="O217" i="7"/>
  <c r="P217" i="7"/>
  <c r="Q217" i="7"/>
  <c r="R217" i="7"/>
  <c r="S217" i="7"/>
  <c r="T217" i="7"/>
  <c r="U217" i="7"/>
  <c r="V217" i="7"/>
  <c r="W217" i="7"/>
  <c r="X217" i="7"/>
  <c r="Y217" i="7"/>
  <c r="Z217" i="7"/>
  <c r="AA217" i="7"/>
  <c r="AB217" i="7"/>
  <c r="AC217" i="7"/>
  <c r="AD217" i="7"/>
  <c r="AE217" i="7"/>
  <c r="AF217" i="7"/>
  <c r="AG217" i="7"/>
  <c r="AH217" i="7"/>
  <c r="AI217" i="7"/>
  <c r="AJ217" i="7"/>
  <c r="AK217" i="7"/>
  <c r="AL217" i="7"/>
  <c r="AM217" i="7"/>
  <c r="AN217" i="7"/>
  <c r="AO217" i="7"/>
  <c r="AP217" i="7"/>
  <c r="AQ217" i="7"/>
  <c r="AR217" i="7"/>
  <c r="AS217" i="7"/>
  <c r="AT217" i="7"/>
  <c r="AU217" i="7"/>
  <c r="AV217" i="7"/>
  <c r="AW217" i="7"/>
  <c r="AX217" i="7"/>
  <c r="AY217" i="7"/>
  <c r="O218" i="7"/>
  <c r="P218" i="7"/>
  <c r="Q218" i="7"/>
  <c r="R218" i="7"/>
  <c r="S218" i="7"/>
  <c r="T218" i="7"/>
  <c r="U218" i="7"/>
  <c r="V218" i="7"/>
  <c r="W218" i="7"/>
  <c r="X218" i="7"/>
  <c r="Y218" i="7"/>
  <c r="Z218" i="7"/>
  <c r="AA218" i="7"/>
  <c r="AB218" i="7"/>
  <c r="AC218" i="7"/>
  <c r="AD218" i="7"/>
  <c r="AE218" i="7"/>
  <c r="AF218" i="7"/>
  <c r="AG218" i="7"/>
  <c r="AH218" i="7"/>
  <c r="AI218" i="7"/>
  <c r="AJ218" i="7"/>
  <c r="AK218" i="7"/>
  <c r="AL218" i="7"/>
  <c r="AM218" i="7"/>
  <c r="AN218" i="7"/>
  <c r="AO218" i="7"/>
  <c r="AP218" i="7"/>
  <c r="AQ218" i="7"/>
  <c r="AR218" i="7"/>
  <c r="AS218" i="7"/>
  <c r="AT218" i="7"/>
  <c r="AU218" i="7"/>
  <c r="AV218" i="7"/>
  <c r="AW218" i="7"/>
  <c r="AX218" i="7"/>
  <c r="AY218" i="7"/>
  <c r="O219" i="7"/>
  <c r="P219" i="7"/>
  <c r="Q219" i="7"/>
  <c r="R219" i="7"/>
  <c r="S219" i="7"/>
  <c r="T219" i="7"/>
  <c r="U219" i="7"/>
  <c r="V219" i="7"/>
  <c r="W219" i="7"/>
  <c r="X219" i="7"/>
  <c r="Y219" i="7"/>
  <c r="Z219" i="7"/>
  <c r="AA219" i="7"/>
  <c r="AB219" i="7"/>
  <c r="AC219" i="7"/>
  <c r="AD219" i="7"/>
  <c r="AE219" i="7"/>
  <c r="AF219" i="7"/>
  <c r="AG219" i="7"/>
  <c r="AH219" i="7"/>
  <c r="AI219" i="7"/>
  <c r="AJ219" i="7"/>
  <c r="AK219" i="7"/>
  <c r="AL219" i="7"/>
  <c r="AM219" i="7"/>
  <c r="AN219" i="7"/>
  <c r="AO219" i="7"/>
  <c r="AP219" i="7"/>
  <c r="AQ219" i="7"/>
  <c r="AR219" i="7"/>
  <c r="AS219" i="7"/>
  <c r="AT219" i="7"/>
  <c r="AU219" i="7"/>
  <c r="AV219" i="7"/>
  <c r="AW219" i="7"/>
  <c r="AX219" i="7"/>
  <c r="AY219" i="7"/>
  <c r="O220" i="7"/>
  <c r="P220" i="7"/>
  <c r="Q220" i="7"/>
  <c r="R220" i="7"/>
  <c r="S220" i="7"/>
  <c r="T220" i="7"/>
  <c r="U220" i="7"/>
  <c r="V220" i="7"/>
  <c r="W220" i="7"/>
  <c r="X220" i="7"/>
  <c r="Y220" i="7"/>
  <c r="Z220" i="7"/>
  <c r="AA220" i="7"/>
  <c r="AB220" i="7"/>
  <c r="AC220" i="7"/>
  <c r="AD220" i="7"/>
  <c r="AE220" i="7"/>
  <c r="AF220" i="7"/>
  <c r="AG220" i="7"/>
  <c r="AH220" i="7"/>
  <c r="AI220" i="7"/>
  <c r="AJ220" i="7"/>
  <c r="AK220" i="7"/>
  <c r="AL220" i="7"/>
  <c r="AM220" i="7"/>
  <c r="AN220" i="7"/>
  <c r="AO220" i="7"/>
  <c r="AP220" i="7"/>
  <c r="AQ220" i="7"/>
  <c r="AR220" i="7"/>
  <c r="AS220" i="7"/>
  <c r="AT220" i="7"/>
  <c r="AU220" i="7"/>
  <c r="AV220" i="7"/>
  <c r="AW220" i="7"/>
  <c r="AX220" i="7"/>
  <c r="AY220" i="7"/>
  <c r="O221" i="7"/>
  <c r="P221" i="7"/>
  <c r="Q221" i="7"/>
  <c r="R221" i="7"/>
  <c r="S221" i="7"/>
  <c r="T221" i="7"/>
  <c r="U221" i="7"/>
  <c r="V221" i="7"/>
  <c r="W221" i="7"/>
  <c r="X221" i="7"/>
  <c r="Y221" i="7"/>
  <c r="Z221" i="7"/>
  <c r="AA221" i="7"/>
  <c r="AB221" i="7"/>
  <c r="AC221" i="7"/>
  <c r="AD221" i="7"/>
  <c r="AE221" i="7"/>
  <c r="AF221" i="7"/>
  <c r="AG221" i="7"/>
  <c r="AH221" i="7"/>
  <c r="AI221" i="7"/>
  <c r="AJ221" i="7"/>
  <c r="AK221" i="7"/>
  <c r="AL221" i="7"/>
  <c r="AM221" i="7"/>
  <c r="AN221" i="7"/>
  <c r="AO221" i="7"/>
  <c r="AP221" i="7"/>
  <c r="AQ221" i="7"/>
  <c r="AR221" i="7"/>
  <c r="AS221" i="7"/>
  <c r="AT221" i="7"/>
  <c r="AU221" i="7"/>
  <c r="AV221" i="7"/>
  <c r="AW221" i="7"/>
  <c r="AX221" i="7"/>
  <c r="AY221" i="7"/>
  <c r="O222" i="7"/>
  <c r="P222" i="7"/>
  <c r="Q222" i="7"/>
  <c r="R222" i="7"/>
  <c r="S222" i="7"/>
  <c r="T222" i="7"/>
  <c r="U222" i="7"/>
  <c r="V222" i="7"/>
  <c r="W222" i="7"/>
  <c r="X222" i="7"/>
  <c r="Y222" i="7"/>
  <c r="Z222" i="7"/>
  <c r="AA222" i="7"/>
  <c r="AB222" i="7"/>
  <c r="AC222" i="7"/>
  <c r="AD222" i="7"/>
  <c r="AE222" i="7"/>
  <c r="AF222" i="7"/>
  <c r="AG222" i="7"/>
  <c r="AH222" i="7"/>
  <c r="AI222" i="7"/>
  <c r="AJ222" i="7"/>
  <c r="AK222" i="7"/>
  <c r="AL222" i="7"/>
  <c r="AM222" i="7"/>
  <c r="AN222" i="7"/>
  <c r="AO222" i="7"/>
  <c r="AP222" i="7"/>
  <c r="AQ222" i="7"/>
  <c r="AR222" i="7"/>
  <c r="AS222" i="7"/>
  <c r="AT222" i="7"/>
  <c r="AU222" i="7"/>
  <c r="AV222" i="7"/>
  <c r="AW222" i="7"/>
  <c r="AX222" i="7"/>
  <c r="AY222" i="7"/>
  <c r="O223" i="7"/>
  <c r="P223" i="7"/>
  <c r="Q223" i="7"/>
  <c r="R223" i="7"/>
  <c r="S223" i="7"/>
  <c r="T223" i="7"/>
  <c r="U223" i="7"/>
  <c r="V223" i="7"/>
  <c r="W223" i="7"/>
  <c r="X223" i="7"/>
  <c r="Y223" i="7"/>
  <c r="Z223" i="7"/>
  <c r="AA223" i="7"/>
  <c r="AB223" i="7"/>
  <c r="AC223" i="7"/>
  <c r="AD223" i="7"/>
  <c r="AE223" i="7"/>
  <c r="AF223" i="7"/>
  <c r="AG223" i="7"/>
  <c r="AH223" i="7"/>
  <c r="AI223" i="7"/>
  <c r="AJ223" i="7"/>
  <c r="AK223" i="7"/>
  <c r="AL223" i="7"/>
  <c r="AM223" i="7"/>
  <c r="AN223" i="7"/>
  <c r="AO223" i="7"/>
  <c r="AP223" i="7"/>
  <c r="AQ223" i="7"/>
  <c r="AR223" i="7"/>
  <c r="AS223" i="7"/>
  <c r="AT223" i="7"/>
  <c r="AU223" i="7"/>
  <c r="AV223" i="7"/>
  <c r="AW223" i="7"/>
  <c r="AX223" i="7"/>
  <c r="AY223" i="7"/>
  <c r="O224" i="7"/>
  <c r="P224" i="7"/>
  <c r="Q224" i="7"/>
  <c r="R224" i="7"/>
  <c r="S224" i="7"/>
  <c r="T224" i="7"/>
  <c r="U224" i="7"/>
  <c r="V224" i="7"/>
  <c r="W224" i="7"/>
  <c r="X224" i="7"/>
  <c r="Y224" i="7"/>
  <c r="Z224" i="7"/>
  <c r="AA224" i="7"/>
  <c r="AB224" i="7"/>
  <c r="AC224" i="7"/>
  <c r="AD224" i="7"/>
  <c r="AE224" i="7"/>
  <c r="AF224" i="7"/>
  <c r="AG224" i="7"/>
  <c r="AH224" i="7"/>
  <c r="AI224" i="7"/>
  <c r="AJ224" i="7"/>
  <c r="AK224" i="7"/>
  <c r="AL224" i="7"/>
  <c r="AM224" i="7"/>
  <c r="AN224" i="7"/>
  <c r="AO224" i="7"/>
  <c r="AP224" i="7"/>
  <c r="AQ224" i="7"/>
  <c r="AR224" i="7"/>
  <c r="AS224" i="7"/>
  <c r="AT224" i="7"/>
  <c r="AU224" i="7"/>
  <c r="AV224" i="7"/>
  <c r="AW224" i="7"/>
  <c r="AX224" i="7"/>
  <c r="AY224" i="7"/>
  <c r="O225" i="7"/>
  <c r="P225" i="7"/>
  <c r="Q225" i="7"/>
  <c r="R225" i="7"/>
  <c r="S225" i="7"/>
  <c r="T225" i="7"/>
  <c r="U225" i="7"/>
  <c r="V225" i="7"/>
  <c r="W225" i="7"/>
  <c r="X225" i="7"/>
  <c r="Y225" i="7"/>
  <c r="Z225" i="7"/>
  <c r="AA225" i="7"/>
  <c r="AB225" i="7"/>
  <c r="AC225" i="7"/>
  <c r="AD225" i="7"/>
  <c r="AE225" i="7"/>
  <c r="AF225" i="7"/>
  <c r="AG225" i="7"/>
  <c r="AH225" i="7"/>
  <c r="AI225" i="7"/>
  <c r="AJ225" i="7"/>
  <c r="AK225" i="7"/>
  <c r="AL225" i="7"/>
  <c r="AM225" i="7"/>
  <c r="AN225" i="7"/>
  <c r="AO225" i="7"/>
  <c r="AP225" i="7"/>
  <c r="AQ225" i="7"/>
  <c r="AR225" i="7"/>
  <c r="AS225" i="7"/>
  <c r="AT225" i="7"/>
  <c r="AU225" i="7"/>
  <c r="AV225" i="7"/>
  <c r="AW225" i="7"/>
  <c r="AX225" i="7"/>
  <c r="AY225" i="7"/>
  <c r="O226" i="7"/>
  <c r="P226" i="7"/>
  <c r="Q226" i="7"/>
  <c r="R226" i="7"/>
  <c r="S226" i="7"/>
  <c r="T226" i="7"/>
  <c r="U226" i="7"/>
  <c r="V226" i="7"/>
  <c r="W226" i="7"/>
  <c r="X226" i="7"/>
  <c r="Y226" i="7"/>
  <c r="Z226" i="7"/>
  <c r="AA226" i="7"/>
  <c r="AB226" i="7"/>
  <c r="AC226" i="7"/>
  <c r="AD226" i="7"/>
  <c r="AE226" i="7"/>
  <c r="AF226" i="7"/>
  <c r="AG226" i="7"/>
  <c r="AH226" i="7"/>
  <c r="AI226" i="7"/>
  <c r="AJ226" i="7"/>
  <c r="AK226" i="7"/>
  <c r="AL226" i="7"/>
  <c r="AM226" i="7"/>
  <c r="AN226" i="7"/>
  <c r="AO226" i="7"/>
  <c r="AP226" i="7"/>
  <c r="AQ226" i="7"/>
  <c r="AR226" i="7"/>
  <c r="AS226" i="7"/>
  <c r="AT226" i="7"/>
  <c r="AU226" i="7"/>
  <c r="AV226" i="7"/>
  <c r="AW226" i="7"/>
  <c r="AX226" i="7"/>
  <c r="AY226" i="7"/>
  <c r="O227" i="7"/>
  <c r="P227" i="7"/>
  <c r="Q227" i="7"/>
  <c r="R227" i="7"/>
  <c r="S227" i="7"/>
  <c r="T227" i="7"/>
  <c r="U227" i="7"/>
  <c r="V227" i="7"/>
  <c r="W227" i="7"/>
  <c r="X227" i="7"/>
  <c r="Y227" i="7"/>
  <c r="Z227" i="7"/>
  <c r="AA227" i="7"/>
  <c r="AB227" i="7"/>
  <c r="AC227" i="7"/>
  <c r="AD227" i="7"/>
  <c r="AE227" i="7"/>
  <c r="AF227" i="7"/>
  <c r="AG227" i="7"/>
  <c r="AH227" i="7"/>
  <c r="AI227" i="7"/>
  <c r="AJ227" i="7"/>
  <c r="AK227" i="7"/>
  <c r="AL227" i="7"/>
  <c r="AM227" i="7"/>
  <c r="AN227" i="7"/>
  <c r="AO227" i="7"/>
  <c r="AP227" i="7"/>
  <c r="AQ227" i="7"/>
  <c r="AR227" i="7"/>
  <c r="AS227" i="7"/>
  <c r="AT227" i="7"/>
  <c r="AU227" i="7"/>
  <c r="AV227" i="7"/>
  <c r="AW227" i="7"/>
  <c r="AX227" i="7"/>
  <c r="AY227" i="7"/>
  <c r="O228" i="7"/>
  <c r="P228" i="7"/>
  <c r="Q228" i="7"/>
  <c r="R228" i="7"/>
  <c r="S228" i="7"/>
  <c r="T228" i="7"/>
  <c r="U228" i="7"/>
  <c r="V228" i="7"/>
  <c r="W228" i="7"/>
  <c r="X228" i="7"/>
  <c r="Y228" i="7"/>
  <c r="Z228" i="7"/>
  <c r="AA228" i="7"/>
  <c r="AB228" i="7"/>
  <c r="AC228" i="7"/>
  <c r="AD228" i="7"/>
  <c r="AE228" i="7"/>
  <c r="AF228" i="7"/>
  <c r="AG228" i="7"/>
  <c r="AH228" i="7"/>
  <c r="AI228" i="7"/>
  <c r="AJ228" i="7"/>
  <c r="AK228" i="7"/>
  <c r="AL228" i="7"/>
  <c r="AM228" i="7"/>
  <c r="AN228" i="7"/>
  <c r="AO228" i="7"/>
  <c r="AP228" i="7"/>
  <c r="AQ228" i="7"/>
  <c r="AR228" i="7"/>
  <c r="AS228" i="7"/>
  <c r="AT228" i="7"/>
  <c r="AU228" i="7"/>
  <c r="AV228" i="7"/>
  <c r="AW228" i="7"/>
  <c r="AX228" i="7"/>
  <c r="AY228" i="7"/>
  <c r="O229" i="7"/>
  <c r="P229" i="7"/>
  <c r="Q229" i="7"/>
  <c r="R229" i="7"/>
  <c r="S229" i="7"/>
  <c r="T229" i="7"/>
  <c r="U229" i="7"/>
  <c r="V229" i="7"/>
  <c r="W229" i="7"/>
  <c r="X229" i="7"/>
  <c r="Y229" i="7"/>
  <c r="Z229" i="7"/>
  <c r="AA229" i="7"/>
  <c r="AB229" i="7"/>
  <c r="AC229" i="7"/>
  <c r="AD229" i="7"/>
  <c r="AE229" i="7"/>
  <c r="AF229" i="7"/>
  <c r="AG229" i="7"/>
  <c r="AH229" i="7"/>
  <c r="AI229" i="7"/>
  <c r="AJ229" i="7"/>
  <c r="AK229" i="7"/>
  <c r="AL229" i="7"/>
  <c r="AM229" i="7"/>
  <c r="AN229" i="7"/>
  <c r="AO229" i="7"/>
  <c r="AP229" i="7"/>
  <c r="AQ229" i="7"/>
  <c r="AR229" i="7"/>
  <c r="AS229" i="7"/>
  <c r="AT229" i="7"/>
  <c r="AU229" i="7"/>
  <c r="AV229" i="7"/>
  <c r="AW229" i="7"/>
  <c r="AX229" i="7"/>
  <c r="AY229" i="7"/>
  <c r="O230" i="7"/>
  <c r="P230" i="7"/>
  <c r="Q230" i="7"/>
  <c r="R230" i="7"/>
  <c r="S230" i="7"/>
  <c r="T230" i="7"/>
  <c r="U230" i="7"/>
  <c r="V230" i="7"/>
  <c r="W230" i="7"/>
  <c r="X230" i="7"/>
  <c r="Y230" i="7"/>
  <c r="Z230" i="7"/>
  <c r="AA230" i="7"/>
  <c r="AB230" i="7"/>
  <c r="AC230" i="7"/>
  <c r="AD230" i="7"/>
  <c r="AE230" i="7"/>
  <c r="AF230" i="7"/>
  <c r="AG230" i="7"/>
  <c r="AH230" i="7"/>
  <c r="AI230" i="7"/>
  <c r="AJ230" i="7"/>
  <c r="AK230" i="7"/>
  <c r="AL230" i="7"/>
  <c r="AM230" i="7"/>
  <c r="AN230" i="7"/>
  <c r="AO230" i="7"/>
  <c r="AP230" i="7"/>
  <c r="AQ230" i="7"/>
  <c r="AR230" i="7"/>
  <c r="AS230" i="7"/>
  <c r="AT230" i="7"/>
  <c r="AU230" i="7"/>
  <c r="AV230" i="7"/>
  <c r="AW230" i="7"/>
  <c r="AX230" i="7"/>
  <c r="AY230" i="7"/>
  <c r="O231" i="7"/>
  <c r="P231" i="7"/>
  <c r="Q231" i="7"/>
  <c r="R231" i="7"/>
  <c r="S231" i="7"/>
  <c r="T231" i="7"/>
  <c r="U231" i="7"/>
  <c r="V231" i="7"/>
  <c r="W231" i="7"/>
  <c r="X231" i="7"/>
  <c r="Y231" i="7"/>
  <c r="Z231" i="7"/>
  <c r="AA231" i="7"/>
  <c r="AB231" i="7"/>
  <c r="AC231" i="7"/>
  <c r="AD231" i="7"/>
  <c r="AE231" i="7"/>
  <c r="AF231" i="7"/>
  <c r="AG231" i="7"/>
  <c r="AH231" i="7"/>
  <c r="AI231" i="7"/>
  <c r="AJ231" i="7"/>
  <c r="AK231" i="7"/>
  <c r="AL231" i="7"/>
  <c r="AM231" i="7"/>
  <c r="AN231" i="7"/>
  <c r="AO231" i="7"/>
  <c r="AP231" i="7"/>
  <c r="AQ231" i="7"/>
  <c r="AR231" i="7"/>
  <c r="AS231" i="7"/>
  <c r="AT231" i="7"/>
  <c r="AU231" i="7"/>
  <c r="AV231" i="7"/>
  <c r="AW231" i="7"/>
  <c r="AX231" i="7"/>
  <c r="AY231" i="7"/>
  <c r="C5" i="5"/>
  <c r="L35" i="4"/>
  <c r="L33" i="4"/>
  <c r="L32" i="4"/>
  <c r="L31" i="4"/>
  <c r="E9" i="3"/>
  <c r="E8" i="3"/>
  <c r="E7" i="3"/>
  <c r="B37" i="2"/>
  <c r="B36" i="2"/>
  <c r="B35" i="2"/>
  <c r="B33" i="2"/>
  <c r="B32" i="2"/>
  <c r="B31" i="2"/>
  <c r="L12" i="4" a="1"/>
  <c r="K12" i="4" a="1"/>
  <c r="L7" i="3" l="1"/>
  <c r="AM2" i="7"/>
  <c r="AL2" i="7" s="1"/>
  <c r="AQ2" i="7"/>
  <c r="V6" i="5"/>
  <c r="V7" i="5"/>
  <c r="V3" i="5"/>
  <c r="V8" i="5"/>
  <c r="V5" i="5"/>
  <c r="V4" i="5"/>
  <c r="V2" i="5"/>
  <c r="C32" i="4"/>
  <c r="C33" i="4"/>
  <c r="C34" i="4"/>
  <c r="C31" i="4"/>
  <c r="C7" i="4"/>
  <c r="E13" i="4"/>
  <c r="C10" i="4"/>
  <c r="C12" i="4"/>
  <c r="C11" i="4"/>
  <c r="C8" i="4"/>
  <c r="C9" i="4"/>
  <c r="D24" i="2"/>
  <c r="D23" i="2"/>
  <c r="D22" i="2"/>
  <c r="D21" i="2"/>
  <c r="D20" i="2"/>
  <c r="D19" i="2"/>
  <c r="D18" i="2"/>
  <c r="D17" i="2"/>
  <c r="D16" i="2"/>
  <c r="D15" i="2"/>
  <c r="D14" i="2"/>
  <c r="D13" i="2"/>
  <c r="D12" i="2"/>
  <c r="D11" i="2"/>
  <c r="D10" i="2"/>
  <c r="D9" i="2"/>
  <c r="D8" i="2"/>
  <c r="D7" i="2"/>
  <c r="D6" i="2"/>
  <c r="D5" i="2"/>
  <c r="D4" i="2"/>
  <c r="D3" i="2"/>
  <c r="B23" i="2"/>
  <c r="B22" i="2"/>
  <c r="B21" i="2"/>
  <c r="B20" i="2"/>
  <c r="B19" i="2"/>
  <c r="B18" i="2"/>
  <c r="B17" i="2"/>
  <c r="B16" i="2"/>
  <c r="B15" i="2"/>
  <c r="B14" i="2"/>
  <c r="B13" i="2"/>
  <c r="B12" i="2"/>
  <c r="B11" i="2"/>
  <c r="B10" i="2"/>
  <c r="B9" i="2"/>
  <c r="B8" i="2"/>
  <c r="B7" i="2"/>
  <c r="B6" i="2"/>
  <c r="B5" i="2"/>
  <c r="B4" i="2"/>
  <c r="B3" i="2"/>
  <c r="B41" i="2"/>
  <c r="B40" i="2"/>
  <c r="B39" i="2"/>
  <c r="B38" i="2"/>
  <c r="B30" i="2"/>
  <c r="B42" i="2"/>
  <c r="L9" i="3"/>
  <c r="L10" i="3"/>
  <c r="L8" i="3"/>
  <c r="L11" i="3"/>
  <c r="C36" i="2"/>
  <c r="C35" i="2"/>
  <c r="C33" i="2"/>
  <c r="C32" i="2"/>
  <c r="C31" i="2"/>
  <c r="C37" i="2"/>
  <c r="B34" i="2"/>
  <c r="C34" i="2" s="1"/>
  <c r="C13" i="4" l="1"/>
  <c r="C42" i="2"/>
  <c r="C40" i="2"/>
  <c r="C41" i="2"/>
  <c r="C30" i="2"/>
  <c r="C39" i="2"/>
  <c r="C38" i="2"/>
  <c r="D25"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<sst xmlns="http://schemas.openxmlformats.org/spreadsheetml/2006/main" count="2852" uniqueCount="738">
  <si>
    <t>City</t>
  </si>
  <si>
    <t>LinkedIn</t>
  </si>
  <si>
    <t>Data Analyst</t>
  </si>
  <si>
    <t>Bengaluru</t>
  </si>
  <si>
    <t>Business Analyst</t>
  </si>
  <si>
    <t>Hyderabad</t>
  </si>
  <si>
    <t>Mumbai</t>
  </si>
  <si>
    <t>MIS Analyst</t>
  </si>
  <si>
    <t>Data Engineer</t>
  </si>
  <si>
    <t>BI Developer</t>
  </si>
  <si>
    <t>Hybrid</t>
  </si>
  <si>
    <t>On-site</t>
  </si>
  <si>
    <t>Noida</t>
  </si>
  <si>
    <t>Pune</t>
  </si>
  <si>
    <t>Gurgaon</t>
  </si>
  <si>
    <t>PySpark</t>
  </si>
  <si>
    <t>Chennai</t>
  </si>
  <si>
    <t>Delhi</t>
  </si>
  <si>
    <t>Naukri</t>
  </si>
  <si>
    <t>Python</t>
  </si>
  <si>
    <t>Remote</t>
  </si>
  <si>
    <t>Excel</t>
  </si>
  <si>
    <t>Foundit</t>
  </si>
  <si>
    <t>Internshala</t>
  </si>
  <si>
    <t>Unstop</t>
  </si>
  <si>
    <t>SQL</t>
  </si>
  <si>
    <t>PowerBI</t>
  </si>
  <si>
    <t>Tableau</t>
  </si>
  <si>
    <t>Statistics</t>
  </si>
  <si>
    <t>AWS</t>
  </si>
  <si>
    <t>GCP</t>
  </si>
  <si>
    <t>Data Modeling</t>
  </si>
  <si>
    <t>Pandas</t>
  </si>
  <si>
    <t>Numpy</t>
  </si>
  <si>
    <t>Pyspark</t>
  </si>
  <si>
    <t>Hadoop</t>
  </si>
  <si>
    <t>ETL</t>
  </si>
  <si>
    <t>Azure</t>
  </si>
  <si>
    <t>A/B Testing</t>
  </si>
  <si>
    <t>Snowflake</t>
  </si>
  <si>
    <t>Agile</t>
  </si>
  <si>
    <t>Jira</t>
  </si>
  <si>
    <t>Git &amp; Github</t>
  </si>
  <si>
    <t>MIS Reporting</t>
  </si>
  <si>
    <t>Databricks</t>
  </si>
  <si>
    <t>CI/CD</t>
  </si>
  <si>
    <t>Skill</t>
  </si>
  <si>
    <t>Total_Count</t>
  </si>
  <si>
    <t>Pct_of_All_Jobs</t>
  </si>
  <si>
    <t>Required_Count</t>
  </si>
  <si>
    <t>Banglore</t>
  </si>
  <si>
    <t>Data_Analyst</t>
  </si>
  <si>
    <t>Business_Analyst</t>
  </si>
  <si>
    <t>Data_Engineer</t>
  </si>
  <si>
    <t>BI_Developer</t>
  </si>
  <si>
    <t>MIS_Analyst</t>
  </si>
  <si>
    <t>No_SQL</t>
  </si>
  <si>
    <t>Pref_Skill</t>
  </si>
  <si>
    <t>Airflow</t>
  </si>
  <si>
    <t>Kafka</t>
  </si>
  <si>
    <t>ML</t>
  </si>
  <si>
    <t>Docker</t>
  </si>
  <si>
    <t>dbt</t>
  </si>
  <si>
    <t>API</t>
  </si>
  <si>
    <t>Internship</t>
  </si>
  <si>
    <t>Compensation Intelligence</t>
  </si>
  <si>
    <t>Category</t>
  </si>
  <si>
    <t>Total Posts</t>
  </si>
  <si>
    <t>Disclosed</t>
  </si>
  <si>
    <t>Not Disclosed</t>
  </si>
  <si>
    <t>Disclosure Rate</t>
  </si>
  <si>
    <t>Salary  Disclosure Rate</t>
  </si>
  <si>
    <t>Full time</t>
  </si>
  <si>
    <t>Overall</t>
  </si>
  <si>
    <t>Salary Range Summary</t>
  </si>
  <si>
    <t>Metric</t>
  </si>
  <si>
    <t>Value</t>
  </si>
  <si>
    <t>Lowest Min Salary</t>
  </si>
  <si>
    <t>Median Max Salary</t>
  </si>
  <si>
    <t>29 LPA</t>
  </si>
  <si>
    <t>Highest Max Salary (with outlier)</t>
  </si>
  <si>
    <t>Highest Max Salary (without outlier)</t>
  </si>
  <si>
    <t>8.25 LPA</t>
  </si>
  <si>
    <t>1 LPA</t>
  </si>
  <si>
    <t>Average Max Salary (with outlier)</t>
  </si>
  <si>
    <t>Average Max Salary (without outlier)</t>
  </si>
  <si>
    <t>2.66 LPA</t>
  </si>
  <si>
    <t>4.28 LPA</t>
  </si>
  <si>
    <t>Average Min Salary (with outlier)</t>
  </si>
  <si>
    <t>Average Min Salary (without outlier)</t>
  </si>
  <si>
    <t>Median Min Salary</t>
  </si>
  <si>
    <t>3 LPA</t>
  </si>
  <si>
    <t>5.87 LPA</t>
  </si>
  <si>
    <t>4.21 LPA</t>
  </si>
  <si>
    <t>4 LPA</t>
  </si>
  <si>
    <r>
      <rPr>
        <i/>
        <sz val="11"/>
        <color theme="1"/>
        <rFont val="Aptos Narrow"/>
        <family val="2"/>
        <scheme val="minor"/>
      </rPr>
      <t>Note</t>
    </r>
    <r>
      <rPr>
        <sz val="11"/>
        <color theme="1"/>
        <rFont val="Aptos Narrow"/>
        <family val="2"/>
        <scheme val="minor"/>
      </rPr>
      <t>:</t>
    </r>
    <r>
      <rPr>
        <i/>
        <sz val="11"/>
        <color theme="1"/>
        <rFont val="Aptos Narrow"/>
        <family val="2"/>
        <scheme val="minor"/>
      </rPr>
      <t xml:space="preserve"> Based on 15 disclosed postings  only (7.3% of full-time roles). Figures are directional,not statistically conclusive</t>
    </r>
    <r>
      <rPr>
        <sz val="11"/>
        <color theme="1"/>
        <rFont val="Aptos Narrow"/>
        <family val="2"/>
        <scheme val="minor"/>
      </rPr>
      <t>.</t>
    </r>
  </si>
  <si>
    <t>Salary Disclosure Rate by Platform</t>
  </si>
  <si>
    <t>Platform</t>
  </si>
  <si>
    <t>Total</t>
  </si>
  <si>
    <t xml:space="preserve">Internship Stipened Summary </t>
  </si>
  <si>
    <t>Highest Monthly Stipened</t>
  </si>
  <si>
    <t>Lowest Monthly Stipened</t>
  </si>
  <si>
    <t>Average Monthly Stipened</t>
  </si>
  <si>
    <t xml:space="preserve">Note: Based on 8 internships postings with disclosed stipened. Stipened figures are monthly Rs. </t>
  </si>
  <si>
    <t>Small sample (Internshala) , not conclusive.</t>
  </si>
  <si>
    <t>City Trends Analysis</t>
  </si>
  <si>
    <t xml:space="preserve">City </t>
  </si>
  <si>
    <t>Total_Postings</t>
  </si>
  <si>
    <t>% of Dataset</t>
  </si>
  <si>
    <t>Full_Time</t>
  </si>
  <si>
    <t>Role Distribution by City</t>
  </si>
  <si>
    <t>Delhi NCR</t>
  </si>
  <si>
    <t>Note: Delhi NCR figures consolidate postings listed under Delhi, Noida, Gurgaon - treated as one hiring region</t>
  </si>
  <si>
    <t>reflecting ground reality of the NCR job market.</t>
  </si>
  <si>
    <t>Experience requirements by City</t>
  </si>
  <si>
    <t>Avg Min Exp</t>
  </si>
  <si>
    <t>Avg Max Exp</t>
  </si>
  <si>
    <t>% Reuring 0 Exp</t>
  </si>
  <si>
    <t>% Requiring 0-2 yrs</t>
  </si>
  <si>
    <t>Hyderbad</t>
  </si>
  <si>
    <t>Top Skill Demand by City</t>
  </si>
  <si>
    <t>Skill_1: Count</t>
  </si>
  <si>
    <t>Skill_2:Count</t>
  </si>
  <si>
    <t>Skill_3:Count</t>
  </si>
  <si>
    <t>Python: 27</t>
  </si>
  <si>
    <t>SQL: 55</t>
  </si>
  <si>
    <t>PowerBI: 25</t>
  </si>
  <si>
    <t>SQL: 18</t>
  </si>
  <si>
    <t>Python: 11</t>
  </si>
  <si>
    <t>ETL: 9</t>
  </si>
  <si>
    <t>SQL:9</t>
  </si>
  <si>
    <t>Python &amp; Excel: 8</t>
  </si>
  <si>
    <t>MIS Reporting: 5</t>
  </si>
  <si>
    <t>Excel: 10</t>
  </si>
  <si>
    <t>SQL: 9</t>
  </si>
  <si>
    <t>Python &amp; PowerBI: 7</t>
  </si>
  <si>
    <t>PowerBI: 6</t>
  </si>
  <si>
    <t>Excel: 4</t>
  </si>
  <si>
    <t>SQL:  36</t>
  </si>
  <si>
    <t>Python &amp; Excel: 23</t>
  </si>
  <si>
    <t>Skill_4: Count</t>
  </si>
  <si>
    <t>Tableau: 24</t>
  </si>
  <si>
    <t>PowerBI: 8</t>
  </si>
  <si>
    <t>AWS: 4</t>
  </si>
  <si>
    <t>ETL: 4</t>
  </si>
  <si>
    <t>Python &amp; Azure: 3</t>
  </si>
  <si>
    <t>PowerBI: 21</t>
  </si>
  <si>
    <t>Tableau: 11</t>
  </si>
  <si>
    <t>Work Mode Analysis</t>
  </si>
  <si>
    <t xml:space="preserve">Work Mode </t>
  </si>
  <si>
    <t>City Trends</t>
  </si>
  <si>
    <t>India Data Roles Job Market Intelligence Report - 2026</t>
  </si>
  <si>
    <t>Analysis of 230 job postings across 6 cities , 5 roles, and 4 platforms| May- June 2026</t>
  </si>
  <si>
    <t>EXECUTIVE SUMMARY</t>
  </si>
  <si>
    <t>KEY FINDINGS</t>
  </si>
  <si>
    <t>Role Distribution across Dataset</t>
  </si>
  <si>
    <t>Percentage</t>
  </si>
  <si>
    <t xml:space="preserve">Role  </t>
  </si>
  <si>
    <t>Skill Demand</t>
  </si>
  <si>
    <t>Salary Transparency</t>
  </si>
  <si>
    <t>RECOMMENDATIONS FOR JOB SEEKERS</t>
  </si>
  <si>
    <t>DATA METHODOLOGY</t>
  </si>
  <si>
    <t>Prepared by : Gurpreet Kaur</t>
  </si>
  <si>
    <t xml:space="preserve">Market Overview </t>
  </si>
  <si>
    <t>City Intelligence</t>
  </si>
  <si>
    <t>Work Mode Reality</t>
  </si>
  <si>
    <t>Role Landscape</t>
  </si>
  <si>
    <t>This report analyzes 230 job postings for data-related roles across Bengaluru, Delhi NCR, Hyderabad, Pune, Mumbai, and Chennai collected between 5 June 2026 to 7 June 2026 from LinkedIn, Naukri, Foundit,Internshala, and Unstop.SQL emerged as the dominant technical requirement appearing in 63% of all postings, while salary transparency remains critically low at just 7.3% of full-time postings. Bengaluru accounts for 33.7% of all data role postings ,nearly 3x that of the next largest market. On-site work remains the dominant arrangement at 88% of postings, challenging assumptions about post-pandemic remote flexibility in Indian data hiring.</t>
  </si>
  <si>
    <t>Data was manually collected from LinkedIn, Naukri,Foundit, Internshala, and Unstop between 5 June 2026 to 7 June 2026.Only postings targeting 0–3 years experience were included. Postings with clear role-description mismatch were excluded. Salary analysis is based on 15 full-time postings with disclosed compensation (7.3% of full-time dataset) — figures are directional and not statistically conclusive at this sample size. Skills were identified via keyword search on raw job description text. Delhi NCR consolidates Delhi, Noida and Gurgaon as one hiring region. Dataset comprises 205 full-time and 25 internship postings. No personal, confidential, or proprietary data was used. This analysis is prepared for academic and career development purposes only.</t>
  </si>
  <si>
    <t xml:space="preserve">SQL was the single most demand skill appearing in 63% of all posyings , confirming its status as the non-negotiable baseline for entry into data roles in India.		
Excel ranked second at 37.39%, followed by Python at 34.78% and PowerBI at 27.39%. Notably PowerBI	significantly outspaced Tableau (27.39% vs 12.61%) refelecting Microsoft's stronger enterprise penetration in Indian Market compared to global trends where Tableau remains dominant.							</t>
  </si>
  <si>
    <t xml:space="preserve">230 postings were analyzed across 6 cities and 5 role types. Data Analyst was the most  posted role accounting for  26% of full-time postings, followed by Business Analyst at 25%. MIS Analyst , while less visible on platforms, showed concentrated demand in Delhi NCR and Mumbai markets with stringer BFSI and enterprise presence. Bengaluru dominated overall volume at 33.7% followed by Delhi NCR at 24.2% Chennai and Mumbai showed smaller but notable presence suggesting emerging demand beyond the traditional Bengaluru-Hyderabad corridor.						</t>
  </si>
  <si>
    <t xml:space="preserve">Salary opacity is the defining characteristic of India's data job market. Only 7.3% of full-time postings (16 of 205) disclosed compensation leaving the vast majority of candidates to negotiate without market reference.							
Among disclosed postings, median maximum salary was 4LPA and median minimum salry was 3 LPA with one outlier at 29 LPA excluded from central tendency calculations as it likely represennted a senior or misclassified role. 					
Platform wise, naukri showed the highest disclosure count at 15 postings(19.7% of its listings) while LinkedIn despite being the largest source, disclosed salary in only 1.33% of postings. This counter-intutive finding suggests Indian companies posting on LinkedIn may delibrately withhold compensation to retain negotiating leverage with candiadtes who associate LinkedIn with premium opportunities.							</t>
  </si>
  <si>
    <t xml:space="preserve">Bengaluru showed the strongest demand for Python and Data Engineering roles consistent with its startup and product company ecosystem. SQL:55, Python:27, PowerBI:25 were the top three skills.							
Delhi NCR demonstrated the broadest role diversity with meaningful presence accross all 5 roles the MIS Analyst concentration, reflecting demand for BFSI, government-adjacent, and large enterprise sectors headquartered in the capital region. Hyderabad showed disproportionate skill demand appearing as its third most required skill suggesting stronger data engineering pipeline work in its GCC (Global Capability Center) heavy ecosystem.							
Experience requirements were most fresher friendly in Pune, Delhi NCR and Mumbai where 67%,55% and 53% of postings respectively required zero prior experience compared to Bengaluru at 35% suggesting Tier-1 product companies in Bengaluru set higher bars even for entry level titles.						</t>
  </si>
  <si>
    <t xml:space="preserve">Data Analyst remain the most accessible entry point into data profession with highest posting volume and the broadest skill overlap SQL, Excel, PowerBI form a viable minimum skillset for this role. Business Analyst postings showed the highest frequency of communication and stakeholder management requirements alongside technical skills , suggesting a hybrid profile that bridges data and business teams.						
MIS Analyst, while underrepresented on platforms, offers a strategic entry point for freshers: lowercompetition, strong Excel and SQL alignment, and clear demand from enterprise and BFSI sectors where structured reporting drives day-to-day operations.							</t>
  </si>
  <si>
    <t xml:space="preserve">80% of postings required on-site presence, a striking contrast to the narrative of widespread remote work in the Indian tech sector, Remote and Hybrid roles combined accounted for only 10% of postings. Remote roles were concentrated in Bengaluru (2 postings) and skewed towards Data Engineering and Python-heavy profiles , consistent with global patterns where infrastructure and engineering roles retain more location flexibility than analyst and reporting roles.						
For freshers specifically, this finding has practical implications: geographic mobility , particularly willingness to relocate to Bengaluru or Delhi NCR significantly expands the addressable opportunity set.							</t>
  </si>
  <si>
    <t xml:space="preserve">1. SQL first, always appears in 63% of postings.No other investment has higher guaranteed ROI for a data role fresher in India. 																
2. Add Python next  the SQL+Python combination opens Data Analyst, Data Engineer, and Business Analyst roles simultaneously.															
3. Pick one visualization tool , Power BI for enterprise/corporate track, Tableau for product/startup track. Don't try to learn both simultaneously.														
4. Target MIS Analyst roles strategically, lower competition, strong Excel alignment, clear hiring volume in Delhi NCR and Mumbai.															
5. Be geographically flexible, 57% of postings are in Bengaluru and Delhi NCR combined. Remote roles are rare (5%) and skew senior.	                                                                                                                                                                                                                                                 												 6. Negotiate with data , only 7.3% of postings show salary. Use this report's median figures (Rs 3-4 LPA min, Rs 4-6 LPA max for freshers ) as your benchmark when negotiating blind.																		</t>
  </si>
  <si>
    <t>India Data Roles — Job Market Intelligence Dashboard 2026</t>
  </si>
  <si>
    <t>230 postings | 6 cities | 5 roles | 4 platforms | May–Jun 2026</t>
  </si>
  <si>
    <t>Total Job Postings</t>
  </si>
  <si>
    <t>Fulltime Postings</t>
  </si>
  <si>
    <t>Most Demanded Skill</t>
  </si>
  <si>
    <t>Salary Disclosure Rate</t>
  </si>
  <si>
    <t>Count</t>
  </si>
  <si>
    <t>Role</t>
  </si>
  <si>
    <t>Postings</t>
  </si>
  <si>
    <t>WorkMode</t>
  </si>
  <si>
    <t>Skill Demand Frequency</t>
  </si>
  <si>
    <t>Role Distribution</t>
  </si>
  <si>
    <t>Posting Volume by City</t>
  </si>
  <si>
    <t>Work Mode Distribution</t>
  </si>
  <si>
    <t>Small</t>
  </si>
  <si>
    <t>None</t>
  </si>
  <si>
    <t>Advanced Excel,PowerBI,SQL, Data Cleaning</t>
  </si>
  <si>
    <t>NA</t>
  </si>
  <si>
    <t>Impactivia</t>
  </si>
  <si>
    <t>Basic SQL</t>
  </si>
  <si>
    <t>Excel,MIS Reporting</t>
  </si>
  <si>
    <t>InLane Technologies</t>
  </si>
  <si>
    <t>Medium</t>
  </si>
  <si>
    <t>Familiarity with big data tools</t>
  </si>
  <si>
    <t>Python,APIs,SQL</t>
  </si>
  <si>
    <t>Poshmark</t>
  </si>
  <si>
    <t>Startup</t>
  </si>
  <si>
    <t>ETL,Python,Git,SQL,AWS</t>
  </si>
  <si>
    <t>Krayo</t>
  </si>
  <si>
    <t>Eloelo</t>
  </si>
  <si>
    <t>Large</t>
  </si>
  <si>
    <t>Excel,SQL,PowerBI,PowerAutomate,Python</t>
  </si>
  <si>
    <t>Bharti Airtel</t>
  </si>
  <si>
    <t>Excel,SQL</t>
  </si>
  <si>
    <t>Gigafactor Solutions</t>
  </si>
  <si>
    <t>SQL, Excel, PowerBI</t>
  </si>
  <si>
    <t>Argo Intern</t>
  </si>
  <si>
    <t>SQL, Tableau,Excel</t>
  </si>
  <si>
    <t>DataZymes</t>
  </si>
  <si>
    <t>SQL,AWS, Databricks, APIs , ETL</t>
  </si>
  <si>
    <t>bluCognition</t>
  </si>
  <si>
    <t>SQL, Excel,Python</t>
  </si>
  <si>
    <t>Spinny</t>
  </si>
  <si>
    <t>SQL, Excel, Reporting</t>
  </si>
  <si>
    <t>Proho</t>
  </si>
  <si>
    <t>SQL, ETL, Basic understanding of Hadoop,Kafka,PySpark</t>
  </si>
  <si>
    <t>Go Digital</t>
  </si>
  <si>
    <t>Data scraping,SQL,Git, AWS</t>
  </si>
  <si>
    <t>Stylumia</t>
  </si>
  <si>
    <t>Python/R, Statistics</t>
  </si>
  <si>
    <t>ARTPARK</t>
  </si>
  <si>
    <t>Dashboards, Reporting, SQL, Pandas,Python, Databases</t>
  </si>
  <si>
    <t>Scratchly</t>
  </si>
  <si>
    <t>Excel, MIS Reporting, Dashboards, ERP Systems</t>
  </si>
  <si>
    <t>OfBusiness Group</t>
  </si>
  <si>
    <t>SQL, RestAPIs, Python, Excel, Apache Superset, Tableau/PowerBI</t>
  </si>
  <si>
    <t>CoinDCX</t>
  </si>
  <si>
    <t>Excel, MIS Reporting</t>
  </si>
  <si>
    <t>Zippee</t>
  </si>
  <si>
    <t>Python, Matlab, Automation</t>
  </si>
  <si>
    <t>Rolls Royce</t>
  </si>
  <si>
    <t>Spyra</t>
  </si>
  <si>
    <t>Excel, SQL, PowerBI/Tableau</t>
  </si>
  <si>
    <t>AntiLabs</t>
  </si>
  <si>
    <t>Python, SQL, Excel, PowerBI/Tableau</t>
  </si>
  <si>
    <t>Qubixo</t>
  </si>
  <si>
    <t>Neurasys</t>
  </si>
  <si>
    <t>Onsite</t>
  </si>
  <si>
    <t>Excel, Research &amp; Analytics</t>
  </si>
  <si>
    <t>Eurys Infosystems Private Limited</t>
  </si>
  <si>
    <t>Fulltime</t>
  </si>
  <si>
    <t>SQL, AzureServices,Git, ETL, APIs, PowerBI</t>
  </si>
  <si>
    <t>ND</t>
  </si>
  <si>
    <t>Ideagen</t>
  </si>
  <si>
    <t>PowerBI, SQL, Azure/AWS , Data modeling, Reporting</t>
  </si>
  <si>
    <t>Robert Bosch</t>
  </si>
  <si>
    <t>Oracle Analytics with Cloud</t>
  </si>
  <si>
    <t>Datamatics Global Service</t>
  </si>
  <si>
    <t>Data Modeling, PowerBI , Dashboards, Data Architecture</t>
  </si>
  <si>
    <t>PWC</t>
  </si>
  <si>
    <t>SAP Expertise</t>
  </si>
  <si>
    <t>Cognex Corporation</t>
  </si>
  <si>
    <t>BFSI Experience</t>
  </si>
  <si>
    <t>IndiHire Consultants</t>
  </si>
  <si>
    <t>Meesho</t>
  </si>
  <si>
    <t>OCR/AI-driven Invoice Processing</t>
  </si>
  <si>
    <t>Oracle EBS , Indian GST Compliance, Springboot, Kafka, React</t>
  </si>
  <si>
    <t>IDFC</t>
  </si>
  <si>
    <t>Uipath , NICE, SQL, CSM/PMP</t>
  </si>
  <si>
    <t>SBI Cards</t>
  </si>
  <si>
    <t>OTA platforms</t>
  </si>
  <si>
    <t>Splunk, PostmanBruno, APIs, JSON/XML Schemas</t>
  </si>
  <si>
    <t>Cybage software</t>
  </si>
  <si>
    <t>Excel , ERP sytems , PLM Process</t>
  </si>
  <si>
    <t>Atlas Copco</t>
  </si>
  <si>
    <t>SQL, Jira, BDD test case drafting</t>
  </si>
  <si>
    <t>BNP Paribas Bank</t>
  </si>
  <si>
    <t>Data warehousing and Data Lake concepts</t>
  </si>
  <si>
    <t>PowerBI , atleast anyone one programming language, HTML and PHP , Wireframing Tools</t>
  </si>
  <si>
    <t>Yash Technologies Pvt. Ltd.</t>
  </si>
  <si>
    <t>Excel , MIS Reporting</t>
  </si>
  <si>
    <t>Mecpl</t>
  </si>
  <si>
    <t>Knowledge of Prompt engineering</t>
  </si>
  <si>
    <t>Excel/Google Sheets, SQL</t>
  </si>
  <si>
    <t>Iprime Services Pvt Ltd</t>
  </si>
  <si>
    <t>MIS Reporting , Excel</t>
  </si>
  <si>
    <t>Lenskart</t>
  </si>
  <si>
    <t> Excel, PowerPoint, and data visualization tools (e.g., Power BI, Tableau, salesforce)</t>
  </si>
  <si>
    <t>Flight Center Travel Group</t>
  </si>
  <si>
    <t>MIS Automation</t>
  </si>
  <si>
    <t>Excel, Reporting</t>
  </si>
  <si>
    <t>Kunvarji Group</t>
  </si>
  <si>
    <t>Financial analysis, Reporting, or MIS, Powerpoint, Tableau/PowerBI, ERP systems</t>
  </si>
  <si>
    <t>Bristlecone India</t>
  </si>
  <si>
    <t>MIS systems, Reporting Tools, Visualization Software</t>
  </si>
  <si>
    <t>Aimlay Private Limited</t>
  </si>
  <si>
    <t>Excel, Power BI, Tableau,SQL</t>
  </si>
  <si>
    <t>One97 Communications Limited</t>
  </si>
  <si>
    <t>PowerBI/Tableau, BW, SQL, Oracle and MS Access</t>
  </si>
  <si>
    <t>HCL Tech</t>
  </si>
  <si>
    <t>SQL, Excel, Data visualization tools</t>
  </si>
  <si>
    <t>Tanla Platforms Limited</t>
  </si>
  <si>
    <t>Reporting , Data management , Excel</t>
  </si>
  <si>
    <t>Mashreq</t>
  </si>
  <si>
    <t>Knowledge of tools like CATIA , PLM systems , or warranty management tools.</t>
  </si>
  <si>
    <t>PowerBI/Tableau, SQL,Excel,Statistics</t>
  </si>
  <si>
    <t>Expleo Group</t>
  </si>
  <si>
    <t>PowerBI, SQL, Python , PySpark, Azure Databricks</t>
  </si>
  <si>
    <t>Circle K</t>
  </si>
  <si>
    <t>Etom, PowerBI, Excel, Statistics, GCP, SAP</t>
  </si>
  <si>
    <t>Erricson</t>
  </si>
  <si>
    <t>SCM, SAP,Excel, SQL,, Data warehousing</t>
  </si>
  <si>
    <t>Hitachi Energy</t>
  </si>
  <si>
    <t>Excel, Six Sigma, PowerPoint</t>
  </si>
  <si>
    <t>Concentrix</t>
  </si>
  <si>
    <t>Predictive Analytics, PowerBI, Excel, SQL</t>
  </si>
  <si>
    <t>DNEG</t>
  </si>
  <si>
    <t>Tableau/PowerBI, SQL, Python, LLMs</t>
  </si>
  <si>
    <t>Netomi</t>
  </si>
  <si>
    <t>PowerBI, SQL, ETL, Data Warehousing</t>
  </si>
  <si>
    <t>SIA</t>
  </si>
  <si>
    <t>SQL, PowerBI, PySpark, PowerAutomate</t>
  </si>
  <si>
    <t>Innover Digital</t>
  </si>
  <si>
    <t>Infor ERP LN, SAP, Oracle, or similar ERP experience also considered</t>
  </si>
  <si>
    <t>Grief</t>
  </si>
  <si>
    <t>PowerBI, Data Modeling, KPIs, ETL pipelines</t>
  </si>
  <si>
    <t>Aditi Tech Consulting Private Limites</t>
  </si>
  <si>
    <t>ETL, Snowflake , SQL, Python/Java, AWS/Azure/GCP</t>
  </si>
  <si>
    <t>Wintech Services</t>
  </si>
  <si>
    <t>SQL,Python, ETL, MDM tool, Azure Data Factory</t>
  </si>
  <si>
    <t>Milliman</t>
  </si>
  <si>
    <t>ERP, PowerBI</t>
  </si>
  <si>
    <t>TVS Next</t>
  </si>
  <si>
    <t>SDLC , SOPs, CRM</t>
  </si>
  <si>
    <t>MSD</t>
  </si>
  <si>
    <t xml:space="preserve"> BigQuery, SQL, Looker, GCP, Python</t>
  </si>
  <si>
    <t xml:space="preserve">Quantiphi Analytics Solutions Private Limited </t>
  </si>
  <si>
    <t>Snowflake, SQL, ETL</t>
  </si>
  <si>
    <t>Programmers.io</t>
  </si>
  <si>
    <t>Guiderwire Services</t>
  </si>
  <si>
    <t>Spg Consulting</t>
  </si>
  <si>
    <t>SQL, AWS, Databricks, PowerBI, Qlik</t>
  </si>
  <si>
    <t>Momentum Services Corp.</t>
  </si>
  <si>
    <t>dbt , Snowflake , AWS, Kafka, ETL/ELT, Git, Python</t>
  </si>
  <si>
    <t>BPMLinks</t>
  </si>
  <si>
    <t>Apache Spark , Kafka, CI/CD Pipelines, Infrastures as a code, SQL , NoSQL data models</t>
  </si>
  <si>
    <t>NatWest Group</t>
  </si>
  <si>
    <t>Asset management,dbt, Data modeling </t>
  </si>
  <si>
    <t>PySpark, ETL/ELT frameworks, Data Quality, Apache Iceberg, and job orchestration</t>
  </si>
  <si>
    <t>State Street</t>
  </si>
  <si>
    <t>AI engineering practices, Automation</t>
  </si>
  <si>
    <t>ETL, SQL and NoSQL databases, Hadoop or PySpark, Data Processing, AWS, Docker and Kubernetes</t>
  </si>
  <si>
    <t>Elsevier</t>
  </si>
  <si>
    <t>Jira, Agile Methodologies, Gap Analysis, Process Modeling</t>
  </si>
  <si>
    <t>TD Newton &amp; Associates</t>
  </si>
  <si>
    <t>Kafka, Cosmos DB, C#, .net</t>
  </si>
  <si>
    <t>Azure Databricks . PySpark, SQL, Azure Data Factory</t>
  </si>
  <si>
    <t>Bajaj Finserv</t>
  </si>
  <si>
    <t>Any CDC Tool like FiveTran, Knowledge of data governance, security and compliance</t>
  </si>
  <si>
    <t>Azure Data Platforms, SQL, Pyspark, CI/CD,PowerBI</t>
  </si>
  <si>
    <t>Birla Opus</t>
  </si>
  <si>
    <t>Databricks or Microsoft Fabric</t>
  </si>
  <si>
    <t>ERP, SQL, Azure Data Platform Services, PowerBI</t>
  </si>
  <si>
    <t>Husky Technologies</t>
  </si>
  <si>
    <t> SaaS, AI, or enterprise technology </t>
  </si>
  <si>
    <t>Dashboards, Reporting</t>
  </si>
  <si>
    <t>Scry ai</t>
  </si>
  <si>
    <t>APIs, dbt, MLOps, DeevOps</t>
  </si>
  <si>
    <t>ETL, Azure, Databricks,SQL,PySpark, Python</t>
  </si>
  <si>
    <t>Happiest Minds Technologies</t>
  </si>
  <si>
    <t>EDI standards such as ANSI X12, EDIFACT, and XML, ERP Systems</t>
  </si>
  <si>
    <t>Johnson Controls India</t>
  </si>
  <si>
    <t>Virtusa</t>
  </si>
  <si>
    <t>AI/ML Knowledge</t>
  </si>
  <si>
    <t xml:space="preserve">, SQL, Python, PySpark, Tableau, Power BI, Excel, A/B Testing, ETL, Cohort Analysis, Cloud based AI analytics platforms   </t>
  </si>
  <si>
    <t>SQL, Azure Services, Jira, ETL/ELT, Python, Scrum, SAFe</t>
  </si>
  <si>
    <t>NTT Data</t>
  </si>
  <si>
    <t>ETL, SQL and NoSQL databases, Hadoop or PySpark, Data Processing</t>
  </si>
  <si>
    <t>FedEx</t>
  </si>
  <si>
    <t>Agile,SAFe, Lean, Six Sigma, Data processing</t>
  </si>
  <si>
    <t>Fidelity International</t>
  </si>
  <si>
    <t>Oracle databases, SQL, Python, Copilot, ETL tools,AWS, Git/Github, Tableau/PowerBI , Ci/CD pipelines</t>
  </si>
  <si>
    <t xml:space="preserve">Agile development , Finance and banking experience </t>
  </si>
  <si>
    <t>Zensar</t>
  </si>
  <si>
    <t>Azure Data services, dbt, Python/SQL,Informatica,Snowflake</t>
  </si>
  <si>
    <t>Brillio</t>
  </si>
  <si>
    <t>AWS, ETL, Snowflake,PowerBI,DAX,SQL,Python</t>
  </si>
  <si>
    <t>Franklin Templeton India</t>
  </si>
  <si>
    <t>GCP , SQL, Airflow, Data modeling, BigQuery, PySpark Beam or Hadoop, RDBMS, NoSQL databases, Dataflow or similar tools</t>
  </si>
  <si>
    <t>Rarr Technologies Private Limited</t>
  </si>
  <si>
    <t>SQL, Aras PLM modules, Jira, AWS</t>
  </si>
  <si>
    <t>Airbus pioneers</t>
  </si>
  <si>
    <t>Kafka,Spark,Understabding of Change data capture</t>
  </si>
  <si>
    <t>Python,Infrastructure as Code, AWS, APIs, CI/CD Pipelines , Git</t>
  </si>
  <si>
    <t>IRIS Software</t>
  </si>
  <si>
    <t>SQL,ETL, Tableau/PowerBI/Qlik/Looker</t>
  </si>
  <si>
    <t>Diverse Lynx</t>
  </si>
  <si>
    <t>Python, PySpark, R, MySQL, NoSQL Databases, Azure/GCP/AWS, PowerBI/Tableau</t>
  </si>
  <si>
    <t>Saarthee</t>
  </si>
  <si>
    <t>Tableau,BI tools, SQL, Snowflake, SDLC  Process</t>
  </si>
  <si>
    <t>Acuity Knowledge Partners</t>
  </si>
  <si>
    <t>Azure, AWS, Python,SQL,ELT,OLTP</t>
  </si>
  <si>
    <t>Kobie Marketing</t>
  </si>
  <si>
    <t>PySpark, Python, SQL, Cloud Data platforms</t>
  </si>
  <si>
    <t>Abbineni Business Management Pune</t>
  </si>
  <si>
    <t>Power Automate, Copilots,PowerBI</t>
  </si>
  <si>
    <t>Azure Services , MLOps,MLFlow,CI/CD pipelines, Python,AutoML, Prompt engineering</t>
  </si>
  <si>
    <t>Emerson</t>
  </si>
  <si>
    <t>Java , Python, SQL,AWS/GCP/Azure</t>
  </si>
  <si>
    <t>Dhurin</t>
  </si>
  <si>
    <t>PowerBI, Azure, Databricks , SQL,PySpark,Python</t>
  </si>
  <si>
    <t>Sutherland Global Services Inc</t>
  </si>
  <si>
    <t>ML frameworks , Docker and Kubernetes , FastAPI, Flask, Django, NoSQL databses</t>
  </si>
  <si>
    <t>Python, AWS, Azure, or Google Cloud Platform, Databases such as  MySQL, PostgreSQL, or Oracle, Big data frameworks such as PySpark , Databricks, Snowflake and dbt , Airflow , DevOps</t>
  </si>
  <si>
    <t>Oliver Wyman</t>
  </si>
  <si>
    <t>Airflow,CI/CD Pipelines,ClickHouse,ML Pipelines</t>
  </si>
  <si>
    <t>PySpark, Scala,GCP, Docker,Kubernetes, SQL,Delta Lake</t>
  </si>
  <si>
    <t>Synectics Inc</t>
  </si>
  <si>
    <t>AWS, PySpark,ETL,Python, Shell scripting, Git/Github</t>
  </si>
  <si>
    <t>Cybernetics Group</t>
  </si>
  <si>
    <t>SQL, AWS, Big Data Technologies</t>
  </si>
  <si>
    <t>Cloudphysician Healthcare</t>
  </si>
  <si>
    <t>Python, dbt</t>
  </si>
  <si>
    <t>PSRTEK</t>
  </si>
  <si>
    <t>Data platform</t>
  </si>
  <si>
    <t>Python, SQL, Databases, APIs, Pandas</t>
  </si>
  <si>
    <t>Busigence Technologies</t>
  </si>
  <si>
    <t>ETL, PySpark, Python, SQL</t>
  </si>
  <si>
    <t>Wizz Technology</t>
  </si>
  <si>
    <t> Hadoop, PySpark, and NoSQL databases, Python, Java, or Scala, Data modeling, Database design</t>
  </si>
  <si>
    <t>Vegapay</t>
  </si>
  <si>
    <t>ETL,PySpark,AWS,SQL,NoSQL Analytics and Streaming</t>
  </si>
  <si>
    <t>Conneqt</t>
  </si>
  <si>
    <t>Python,ETL, Java,Pipelines</t>
  </si>
  <si>
    <t>Billions United</t>
  </si>
  <si>
    <t>Tableau,SAP ERP</t>
  </si>
  <si>
    <t>SQL,Python,Java,Git,CI/CD, Terraform, Cloud based Data Platforms, Airflow</t>
  </si>
  <si>
    <t>Lixil</t>
  </si>
  <si>
    <t xml:space="preserve"> Data Analysis, SQL, Excel, Data Visualization, Statistical Analysis</t>
  </si>
  <si>
    <t>Sociomix</t>
  </si>
  <si>
    <t>Hive,PHP or other scripting language</t>
  </si>
  <si>
    <t>SQL, Excel, Python, Data Analysis</t>
  </si>
  <si>
    <t>Right Step Consulting</t>
  </si>
  <si>
    <t>Excel,SQL,PowerBI / Tableau , Python</t>
  </si>
  <si>
    <t>Hire Techly Solutions</t>
  </si>
  <si>
    <t>Python/R , Statistical techniques</t>
  </si>
  <si>
    <t>SQL,PowerBI, Excel , Data Visualization</t>
  </si>
  <si>
    <t>Digital Glyde</t>
  </si>
  <si>
    <t xml:space="preserve">Excel,PowerBI or Tableau, SDLC or Agile process, ETL </t>
  </si>
  <si>
    <t>Ada Global</t>
  </si>
  <si>
    <t>Python,Reporting,dashboards</t>
  </si>
  <si>
    <t>Legistify</t>
  </si>
  <si>
    <t>Python, SQL, PowerBI/Tableau</t>
  </si>
  <si>
    <t>Suresh Surana &amp; Associates</t>
  </si>
  <si>
    <t>CRM/ERP Systems understanding</t>
  </si>
  <si>
    <t>Excel,SQL, SOP, Quality Analysis</t>
  </si>
  <si>
    <t>Novel Office</t>
  </si>
  <si>
    <t xml:space="preserve">SQL, ETL/ELT </t>
  </si>
  <si>
    <t>Solenis</t>
  </si>
  <si>
    <t>Excel, Audit Support, Microsoft office Suite</t>
  </si>
  <si>
    <t>MDH Spices</t>
  </si>
  <si>
    <t>Excel , SQL</t>
  </si>
  <si>
    <t>Orcapod Consulting Services</t>
  </si>
  <si>
    <t>Data Analysis, Excel , Finance Knowledge</t>
  </si>
  <si>
    <t>Trevista Financial Services</t>
  </si>
  <si>
    <t>Excel,KPIs,Statistics,Databases</t>
  </si>
  <si>
    <t>Kilowott</t>
  </si>
  <si>
    <t>Excel, SQL,PowerBI/Tableau</t>
  </si>
  <si>
    <t>Gollden Management Services</t>
  </si>
  <si>
    <t>Data Analysis, Quality Assurance</t>
  </si>
  <si>
    <t>Sisco Jobs</t>
  </si>
  <si>
    <t>Python/R</t>
  </si>
  <si>
    <t>Excel /PowerBI , Microsoft office suite</t>
  </si>
  <si>
    <t>ABB Ltd</t>
  </si>
  <si>
    <t>Excel, Data validation , Reconciliation</t>
  </si>
  <si>
    <t>Crisil</t>
  </si>
  <si>
    <t>Zoho Analytics / Power BI / Metabase / QuickSight exposure</t>
  </si>
  <si>
    <t>SQL,Amazon Athena(Cloud Databases)</t>
  </si>
  <si>
    <t>Mypaisaa</t>
  </si>
  <si>
    <t>Python, SQL, Data Remediation</t>
  </si>
  <si>
    <t>Capco</t>
  </si>
  <si>
    <t>PostgresSQL, ETL,Tableau</t>
  </si>
  <si>
    <t>Exly</t>
  </si>
  <si>
    <t>Data Flows,  Axure, Balsamiq,  FRD, BRD, SRS</t>
  </si>
  <si>
    <t>Appsinvo</t>
  </si>
  <si>
    <t>SOPs writing, Risk management</t>
  </si>
  <si>
    <t>Surya Software Systems</t>
  </si>
  <si>
    <t>Excel , dashboarding, KPIs,Market Research</t>
  </si>
  <si>
    <t>Carbolink India</t>
  </si>
  <si>
    <t>Agile Development,Documentation,</t>
  </si>
  <si>
    <t>Broadbridge</t>
  </si>
  <si>
    <t>Canva,Adobe Photoshop</t>
  </si>
  <si>
    <t>Black and White Business</t>
  </si>
  <si>
    <t>Understanding of data privacy, security policies, and accessibility guidelines</t>
  </si>
  <si>
    <t> MS Visio, Draw.io, JIRA, Confluence, Excel, PowerPoint</t>
  </si>
  <si>
    <t>Dew Solutions</t>
  </si>
  <si>
    <t>ETL, Requirement gathering, Databases</t>
  </si>
  <si>
    <t>Delibo</t>
  </si>
  <si>
    <t>Agile / Waterfall Development, Excel, Data Analysis</t>
  </si>
  <si>
    <t>Aexonic Technologies</t>
  </si>
  <si>
    <t>SQL,Excel, Javascript, ETL , DBMS</t>
  </si>
  <si>
    <t>Qube Cinema</t>
  </si>
  <si>
    <t>Excel, Access and VBA , Statistics</t>
  </si>
  <si>
    <t>Inquizity</t>
  </si>
  <si>
    <t>MySQL,CRM,Jira</t>
  </si>
  <si>
    <t>Visdum</t>
  </si>
  <si>
    <t>Understanding Finace Domain will be plus</t>
  </si>
  <si>
    <t>Python/R,SQL</t>
  </si>
  <si>
    <t>Zenon LLC</t>
  </si>
  <si>
    <t>SQL , BI tools like PowerBI , Tableau</t>
  </si>
  <si>
    <t xml:space="preserve">Excel,PowerBI/Tableau </t>
  </si>
  <si>
    <t>Hocco Industries</t>
  </si>
  <si>
    <t>Excel,MIS Analysis</t>
  </si>
  <si>
    <t>TD Synnex</t>
  </si>
  <si>
    <t>Excel, SQL,Pivot What If Analysis</t>
  </si>
  <si>
    <t>Nekkanti Systems</t>
  </si>
  <si>
    <t>Excel,PowerBI,VBA</t>
  </si>
  <si>
    <t>Real Time Data Services</t>
  </si>
  <si>
    <t>Basic understanding of ERP</t>
  </si>
  <si>
    <t>Arteria</t>
  </si>
  <si>
    <t>Excel,SQL,DBMS</t>
  </si>
  <si>
    <t>Rapsys Tech Solutions</t>
  </si>
  <si>
    <t>Excel,ETL.Python, Azure Data Services</t>
  </si>
  <si>
    <t>Sumathi Health Care</t>
  </si>
  <si>
    <t>Hive,Python,SQL,Hadoop, AWS</t>
  </si>
  <si>
    <t>Intent Amplify</t>
  </si>
  <si>
    <t>ETL,SQL,Pyspark,Python,Agile Development</t>
  </si>
  <si>
    <t>Blend360 India</t>
  </si>
  <si>
    <t>ETL,SQL,PowerBI or other BI Technologies</t>
  </si>
  <si>
    <t>Smartlyics Innovations Pvt LTd</t>
  </si>
  <si>
    <t>Knowledge of Claude,CLI agents,Openclaw,LLMs,MCPs</t>
  </si>
  <si>
    <t>PowerBI,SQL, Excel,Python</t>
  </si>
  <si>
    <t>Concept Kart</t>
  </si>
  <si>
    <t>AI,Automation and workflow optimization</t>
  </si>
  <si>
    <t>Excel , SQL,Python</t>
  </si>
  <si>
    <t>Shiprocket</t>
  </si>
  <si>
    <t>PowerBI,Advanced EXL, SQL</t>
  </si>
  <si>
    <t>Direct Diagloue Intiatives</t>
  </si>
  <si>
    <t>Data Analysis,Data Mapping</t>
  </si>
  <si>
    <t>Peroptyx</t>
  </si>
  <si>
    <t xml:space="preserve">GenAI Exposure </t>
  </si>
  <si>
    <t>JIRA, Confluence, MS Excel, and Visio</t>
  </si>
  <si>
    <t>Acuvate Software</t>
  </si>
  <si>
    <t>Data Modeling,Data Analysis,Automation,SQL</t>
  </si>
  <si>
    <t>Philips</t>
  </si>
  <si>
    <t>Hive,Python,PowerBI,SQL,Hadoop, AWS</t>
  </si>
  <si>
    <t>Comprinno Technologies</t>
  </si>
  <si>
    <t>Ample Softtech System</t>
  </si>
  <si>
    <t>Azure data services(familiarity),Git, CI/CD,APIs,Microsoft fabric</t>
  </si>
  <si>
    <t>PowerBI,ETL,SQL</t>
  </si>
  <si>
    <t>Consertus</t>
  </si>
  <si>
    <t>Python,AWS,MLOps,LLMOps,Databricks</t>
  </si>
  <si>
    <t>Koch</t>
  </si>
  <si>
    <t>Tableau, SQL,ETL</t>
  </si>
  <si>
    <t>Quest Global</t>
  </si>
  <si>
    <t>PowerBI,SQL, Data visualization</t>
  </si>
  <si>
    <t>ProcDNA</t>
  </si>
  <si>
    <t>Data Visualization, Azure data tools</t>
  </si>
  <si>
    <t>PowerBI,SQL,Data modeling</t>
  </si>
  <si>
    <t>Precision for Medicine</t>
  </si>
  <si>
    <t>Oracle Services, SQL, Unix scripts</t>
  </si>
  <si>
    <t>Experian</t>
  </si>
  <si>
    <t>Databricks/Snowflake , Power BI,SQL</t>
  </si>
  <si>
    <t>Skan AI</t>
  </si>
  <si>
    <t>Exposure to Databricks or Python , Knowledge of AI/ML use cases is preferred</t>
  </si>
  <si>
    <t>PowerBI, SQL, Agile Development</t>
  </si>
  <si>
    <t>Thermo Fisher Scientific</t>
  </si>
  <si>
    <t>Familiarity with Power Automate and Copilot is a plus</t>
  </si>
  <si>
    <t>PowerBI, Data warehousing, ETL</t>
  </si>
  <si>
    <t>SBA Insights</t>
  </si>
  <si>
    <t>Understanding of performance marketing analytics,dbt, Pandas</t>
  </si>
  <si>
    <t>SQL,PowerBi or equivalent</t>
  </si>
  <si>
    <t>Blissclub</t>
  </si>
  <si>
    <t>DBMS , Cloud native database technologies</t>
  </si>
  <si>
    <t>SQL, PowerBI</t>
  </si>
  <si>
    <t>GlobalFoundries</t>
  </si>
  <si>
    <t>Excel, Financial data analysis</t>
  </si>
  <si>
    <t>NES Fircroft</t>
  </si>
  <si>
    <t>PowerBI , Excel,SQL , Data modeling</t>
  </si>
  <si>
    <t>Deloitte</t>
  </si>
  <si>
    <t>Exposure to Docker, AWS deployments, or CI/CD pipelines.</t>
  </si>
  <si>
    <t>PowerBI,Python,SQL, ETL</t>
  </si>
  <si>
    <t>Arth</t>
  </si>
  <si>
    <t>Excel, SQL,DAX,ETL</t>
  </si>
  <si>
    <t>EXL</t>
  </si>
  <si>
    <t>Excel, Hive,SQL, Tableau , MSTR</t>
  </si>
  <si>
    <t>Rupeek</t>
  </si>
  <si>
    <t>Excel, BI Reporting</t>
  </si>
  <si>
    <t>dentsu</t>
  </si>
  <si>
    <t>Excel, Reporting, BI Tools</t>
  </si>
  <si>
    <t>Launch Ventures</t>
  </si>
  <si>
    <t>Exposure to automation, AI tools, or analytics platforms</t>
  </si>
  <si>
    <t>Excel, Python , Databases,MIS Analysis,</t>
  </si>
  <si>
    <t>TWRW - The House of Brands</t>
  </si>
  <si>
    <t>SQL , PowerBI, Excel</t>
  </si>
  <si>
    <t>Airtel Payments Bank</t>
  </si>
  <si>
    <t>LLMs , Knowledge of Health Insurance</t>
  </si>
  <si>
    <t>ETL, Python, SQL</t>
  </si>
  <si>
    <t>Swiss Re</t>
  </si>
  <si>
    <t>Fleet , Logistics , Operations knowledge</t>
  </si>
  <si>
    <t>Indofast Energy</t>
  </si>
  <si>
    <t>Excel,SQL,CRM</t>
  </si>
  <si>
    <t>Chargebee</t>
  </si>
  <si>
    <t>Scrum , Kanban , Finance Knowledge</t>
  </si>
  <si>
    <t>Macquaire Group</t>
  </si>
  <si>
    <t>SQL,Jira , BDD test case drafting</t>
  </si>
  <si>
    <t>BNB Paribas</t>
  </si>
  <si>
    <t>Excel , CRM</t>
  </si>
  <si>
    <t>IntouchCX</t>
  </si>
  <si>
    <t>Github, Documentation,  Dashboarding , SEO practices</t>
  </si>
  <si>
    <t>ZopSmart</t>
  </si>
  <si>
    <t>SQL , Excel Advanced, Reporting</t>
  </si>
  <si>
    <t>DriveX</t>
  </si>
  <si>
    <t>RDMS, SaaS</t>
  </si>
  <si>
    <t>Onit India</t>
  </si>
  <si>
    <t>SQL , Python</t>
  </si>
  <si>
    <t>Livespace</t>
  </si>
  <si>
    <t>Python, VBA, Google Bigquery</t>
  </si>
  <si>
    <t>SQL, Advanced Excel</t>
  </si>
  <si>
    <t>GIVA</t>
  </si>
  <si>
    <t>Fintech Knowledge</t>
  </si>
  <si>
    <t>SQL, Excel</t>
  </si>
  <si>
    <t>Shuru</t>
  </si>
  <si>
    <t>Familiarity with AI powered tools</t>
  </si>
  <si>
    <t>SQL , Python , APIs, Excel</t>
  </si>
  <si>
    <t>Hyring</t>
  </si>
  <si>
    <t>Airflow, Hadoop , RDBMS, NoSQL databases</t>
  </si>
  <si>
    <t>GCP , Big Query, Python</t>
  </si>
  <si>
    <t>LTM</t>
  </si>
  <si>
    <t>Python, Databricks, pyspark, Airflow, AWS S3, Argo Workflows, SQL</t>
  </si>
  <si>
    <t>Definitive Healthcare</t>
  </si>
  <si>
    <t>RAG , VectorDB, Cloud and docker platforms , Front emd frameworks</t>
  </si>
  <si>
    <t>Python, RESTAPIs , SQL , Data pipelines, Data parsing</t>
  </si>
  <si>
    <t>UST</t>
  </si>
  <si>
    <t>Experience with databricks or similar cloud based platforms</t>
  </si>
  <si>
    <t>SQL , Python, Pyspark</t>
  </si>
  <si>
    <t>NAB</t>
  </si>
  <si>
    <t>Big data tools , Airflow, CI/CD pipelines</t>
  </si>
  <si>
    <t>AWS Services, SQL , Data modeling, Python</t>
  </si>
  <si>
    <t>Synechron</t>
  </si>
  <si>
    <t>Postgres , Clickhouse, Understandong of LLMs</t>
  </si>
  <si>
    <t>Python, FastAPI, SQL, Data Pipelines, ETL,Databases</t>
  </si>
  <si>
    <t>Atlys</t>
  </si>
  <si>
    <t>ML pipelines, MLOps, DevOps Practices , dbt, Kafka or similar technologies</t>
  </si>
  <si>
    <t>Python , SQL , Cloud Data Platforms, Data modeling , Data warehousing</t>
  </si>
  <si>
    <t>Emergent</t>
  </si>
  <si>
    <t>Data Analytics, Data visualization, Jenkins, GitLab, CI/CD</t>
  </si>
  <si>
    <t>AWS data services, Python , PySpark , ETL, Databases, CI/CD , Automation</t>
  </si>
  <si>
    <t>Capegemini</t>
  </si>
  <si>
    <t>Banking domain knowledge</t>
  </si>
  <si>
    <t>Python , PySpark , Databricks, Kafka, Shell Script, SQL</t>
  </si>
  <si>
    <t>Citi</t>
  </si>
  <si>
    <t>Kubeflow, Python, Snowflake, Github. CI/CD, PowerBI, Microsoft 365 Tools</t>
  </si>
  <si>
    <t>DHL</t>
  </si>
  <si>
    <t>Orchestration, ML, AI agent development, BI Tools</t>
  </si>
  <si>
    <t>Python ETL , SQL , GCP. RestAPI, Git &amp; CI/CD,Data lake design</t>
  </si>
  <si>
    <t>Aeris</t>
  </si>
  <si>
    <t>Airflow/Snowflake tasks, Abinitio ETL</t>
  </si>
  <si>
    <t>Pyspark,AWS Data Analytics Stack, AWS Cloud, Snowflake,dbt</t>
  </si>
  <si>
    <t>Barclays</t>
  </si>
  <si>
    <t>SQL , PySpark , Kafka , Hadoop, Python , Scala or Java, Cloud data services</t>
  </si>
  <si>
    <t>Accolite</t>
  </si>
  <si>
    <t>Accenture</t>
  </si>
  <si>
    <t>AWS, Python , SQL, Databricks, Automation</t>
  </si>
  <si>
    <t>TCS</t>
  </si>
  <si>
    <t>AWS/GCP</t>
  </si>
  <si>
    <t>SQL , PySpark , Java(or another similar language), Airflow</t>
  </si>
  <si>
    <t>Bachatt</t>
  </si>
  <si>
    <t>GCP sevices such as bigquery, dataflow etc, Airflow</t>
  </si>
  <si>
    <t>PySpark, Hadoop, Hive, Python , Bash, SQL, Data warehousing</t>
  </si>
  <si>
    <t>Impetus</t>
  </si>
  <si>
    <t>Data Modeling, Data Analysis, Python , Advanced SQL , NpSQL , DB Unix Shell scripts</t>
  </si>
  <si>
    <t>Qualcomm</t>
  </si>
  <si>
    <t>Python,SQL, Git, Statistics, Advanced Excel, Data visualization tools</t>
  </si>
  <si>
    <t>Infovision</t>
  </si>
  <si>
    <t>AWS/Azure/GCP, Predictive analytics, Data warehouse concepts</t>
  </si>
  <si>
    <t>SQL , Excel , Python /R, Data visualization tools</t>
  </si>
  <si>
    <t>Call Quest Solutions</t>
  </si>
  <si>
    <t>MySQL , DAX , PowerBI, Data Analysis</t>
  </si>
  <si>
    <t>Prudent Technologies and Consulting Inc</t>
  </si>
  <si>
    <t>Excel , SQL, Python , Dashboarding Tools(Tableau, Metabase etc), Statistics,Pandas, Numpy , Scikit learn,Seaborn</t>
  </si>
  <si>
    <t>Skeps</t>
  </si>
  <si>
    <t>Azure data systems, ETL pipelines, Agile/Scrum</t>
  </si>
  <si>
    <t>Advanced SQL , PowerBI , Github</t>
  </si>
  <si>
    <t>CoffeeBeans</t>
  </si>
  <si>
    <t>Python &amp; Cloud exposure</t>
  </si>
  <si>
    <t>SQL,ETL , Data Transformation</t>
  </si>
  <si>
    <t>Persistent Systems</t>
  </si>
  <si>
    <t>C++, Machine Learning(familarity), Risk Analysis</t>
  </si>
  <si>
    <t>SQL, Python, R</t>
  </si>
  <si>
    <t>Google</t>
  </si>
  <si>
    <t>PowerBI , DAX , Excel , R,Python , Databricks</t>
  </si>
  <si>
    <t>Aditya Birla Capital</t>
  </si>
  <si>
    <t>ETL Pipelines , Python, APIs,Git, AI analytics Tools, Sharepoint</t>
  </si>
  <si>
    <t>SQL , Snowflake, BigQuery, Redshift , Azure Synapse, Tableau , PowerBI, dbt, AWS Quicksight</t>
  </si>
  <si>
    <t>Everbridge</t>
  </si>
  <si>
    <t>CMS datasets such as MMR/MOR/EDPS , Medicare risk adjustment</t>
  </si>
  <si>
    <t>Python , PySpark , Hive, SQL , Cloud Platforms, Analytics Pipelines</t>
  </si>
  <si>
    <t>Optum India</t>
  </si>
  <si>
    <t>Kapiva</t>
  </si>
  <si>
    <t>Kafka(exposure),A/B testing , Tensorflow or HuggingFace(familiarity)</t>
  </si>
  <si>
    <t>Python , R , Numpy , Pandas, SQL , PowerBI , Looker Studio, BigQuery, Web and App analytics</t>
  </si>
  <si>
    <t>GreedyGame</t>
  </si>
  <si>
    <t>PowerBI , DAX, Python , Automation,SQl , Database management,ETL, Data visualization</t>
  </si>
  <si>
    <t>Qpact Solutions</t>
  </si>
  <si>
    <t>Python , PySpark , Scala, Big Data processing, ETL development, Data pipelines,AWS</t>
  </si>
  <si>
    <t>OptimHire</t>
  </si>
  <si>
    <t>Excel, MIS Analysis and Reporting , PowerBI , MIS and SOP dovumentation</t>
  </si>
  <si>
    <t>Teamware Solutions</t>
  </si>
  <si>
    <t xml:space="preserve">Python , Java, Oracle SQL, Adavnced Excel , BI &amp; dashboards , Data Visulaization &amp; KPI reporting </t>
  </si>
  <si>
    <t>Dassault Systemes</t>
  </si>
  <si>
    <t>ML Concepts</t>
  </si>
  <si>
    <t>Amplitude, Mixpanel, Tableau, A/B Testing, SQL, Python, pandas, NumPy, Data Modelling, Star Schema, Snowflake Schema, Excel, Product Analytics, Funnel Analysis, Behavioral Segmentation</t>
  </si>
  <si>
    <t>Acko</t>
  </si>
  <si>
    <t>Employment_Type</t>
  </si>
  <si>
    <t>PowerBI_pref</t>
  </si>
  <si>
    <t>Tableau_pref</t>
  </si>
  <si>
    <t>Azure_pref</t>
  </si>
  <si>
    <t>GCP_pref</t>
  </si>
  <si>
    <t>AWS_pref</t>
  </si>
  <si>
    <t>dbt_pref</t>
  </si>
  <si>
    <t>Docker_pref</t>
  </si>
  <si>
    <t>API_pref</t>
  </si>
  <si>
    <t>ML_pref</t>
  </si>
  <si>
    <t>Kafka_pref</t>
  </si>
  <si>
    <t>Airflow_pref</t>
  </si>
  <si>
    <t>SQL_pref</t>
  </si>
  <si>
    <t>Python_pref</t>
  </si>
  <si>
    <t>NoSQL</t>
  </si>
  <si>
    <t>Company_Size</t>
  </si>
  <si>
    <t>Remote_Option</t>
  </si>
  <si>
    <t>Good_To_Have_Skills</t>
  </si>
  <si>
    <t>Raw_Skills_Text</t>
  </si>
  <si>
    <t>Salary_Max(LPA)</t>
  </si>
  <si>
    <t>Salary_Min(LPA)</t>
  </si>
  <si>
    <t>Experience_Max(years)</t>
  </si>
  <si>
    <t>Experience_Min(years)</t>
  </si>
  <si>
    <t>Company</t>
  </si>
  <si>
    <t>Job_Title</t>
  </si>
  <si>
    <t>Source_Portal</t>
  </si>
  <si>
    <t>Date_Collected</t>
  </si>
  <si>
    <t>Job_ID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</si>
</sst>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b/>
      <sz val="16"/>
      <color theme="1"/>
      <name val="Aptos Narrow"/>
      <family val="2"/>
      <scheme val="minor"/>
    </font>
    <font>
      <i/>
      <sz val="11"/>
      <color theme="1"/>
      <name val="Aptos Narrow"/>
      <family val="2"/>
      <scheme val="minor"/>
    </font>
    <font>
      <sz val="11"/>
      <color theme="1"/>
      <name val="Aptos Narrow"/>
      <family val="2"/>
      <scheme val="minor"/>
    </font>
    <font>
      <sz val="12"/>
      <color theme="1"/>
      <name val="Aptos Narrow"/>
      <family val="2"/>
      <scheme val="minor"/>
    </font>
    <font>
      <sz val="14"/>
      <color theme="1"/>
      <name val="Aptos Narrow"/>
      <family val="2"/>
      <scheme val="minor"/>
    </font>
    <font>
      <sz val="20"/>
      <color theme="1"/>
      <name val="Aptos Narrow"/>
      <family val="2"/>
      <scheme val="minor"/>
    </font>
    <font>
      <sz val="18"/>
      <color theme="1"/>
      <name val="Aptos Narrow"/>
      <family val="2"/>
      <scheme val="minor"/>
    </font>
    <font>
      <sz val="11"/>
      <color rgb="FF121224"/>
      <name val="Satoshi"/>
    </font>
    <font>
      <sz val="8"/>
      <color theme="1"/>
      <name val="Segoe UI"/>
      <family val="2"/>
    </font>
  </fonts>
  <fills count="18">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FFCC"/>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rgb="FFCCFFCC"/>
        <bgColor indexed="64"/>
      </patternFill>
    </fill>
    <fill>
      <patternFill patternType="solid">
        <fgColor rgb="FFCCCCFF"/>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55">
    <xf numFmtId="0" fontId="0" fillId="0" borderId="0" xfId="0"/>
    <xf numFmtId="0" fontId="1" fillId="0" borderId="0" xfId="0" applyFont="1"/>
    <xf numFmtId="0" fontId="0" fillId="0" borderId="0" xfId="0" applyAlignment="1">
      <alignment wrapText="1"/>
    </xf>
    <xf numFmtId="3" fontId="0" fillId="0" borderId="0" xfId="0" applyNumberFormat="1"/>
    <xf numFmtId="10" fontId="0" fillId="0" borderId="0" xfId="0" applyNumberFormat="1"/>
    <xf numFmtId="0" fontId="3" fillId="0" borderId="0" xfId="0" applyFont="1"/>
    <xf numFmtId="0" fontId="0" fillId="0" borderId="0" xfId="0" applyAlignment="1">
      <alignment horizontal="left"/>
    </xf>
    <xf numFmtId="0" fontId="3" fillId="0" borderId="0" xfId="0" applyFont="1" applyAlignment="1">
      <alignment horizontal="left"/>
    </xf>
    <xf numFmtId="1" fontId="0" fillId="0" borderId="0" xfId="0" applyNumberFormat="1"/>
    <xf numFmtId="9" fontId="0" fillId="0" borderId="0" xfId="1" applyFont="1"/>
    <xf numFmtId="1" fontId="1" fillId="0" borderId="0" xfId="0" applyNumberFormat="1" applyFont="1"/>
    <xf numFmtId="9" fontId="1" fillId="0" borderId="0" xfId="1" applyFont="1"/>
    <xf numFmtId="0" fontId="6" fillId="0" borderId="0" xfId="0" applyFont="1"/>
    <xf numFmtId="0" fontId="0" fillId="0" borderId="0" xfId="0" applyAlignment="1">
      <alignment horizontal="left" vertical="center" wrapText="1"/>
    </xf>
    <xf numFmtId="14" fontId="0" fillId="0" borderId="0" xfId="0" applyNumberFormat="1"/>
    <xf numFmtId="0" fontId="9" fillId="0" borderId="0" xfId="0" applyFont="1" applyAlignment="1">
      <alignment vertical="center" wrapText="1"/>
    </xf>
    <xf numFmtId="0" fontId="10" fillId="0" borderId="0" xfId="0" applyFont="1"/>
    <xf numFmtId="0" fontId="1" fillId="3" borderId="0" xfId="0" applyFont="1" applyFill="1" applyAlignment="1">
      <alignment horizontal="center"/>
    </xf>
    <xf numFmtId="0" fontId="2" fillId="6" borderId="0" xfId="0" applyFont="1" applyFill="1" applyAlignment="1">
      <alignment horizontal="center" vertical="center"/>
    </xf>
    <xf numFmtId="0" fontId="1" fillId="6" borderId="0" xfId="0" applyFont="1" applyFill="1" applyAlignment="1">
      <alignment horizontal="center" vertical="center"/>
    </xf>
    <xf numFmtId="0" fontId="1" fillId="5"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1" fontId="1" fillId="10" borderId="0" xfId="0" applyNumberFormat="1" applyFont="1" applyFill="1" applyAlignment="1">
      <alignment horizontal="center"/>
    </xf>
    <xf numFmtId="0" fontId="2" fillId="2" borderId="0" xfId="0" applyFont="1" applyFill="1" applyAlignment="1">
      <alignment horizontal="center" vertical="center"/>
    </xf>
    <xf numFmtId="0" fontId="1" fillId="4" borderId="0" xfId="0" applyFont="1" applyFill="1" applyAlignment="1">
      <alignment horizontal="center"/>
    </xf>
    <xf numFmtId="0" fontId="0" fillId="0" borderId="0" xfId="0" applyAlignment="1">
      <alignment horizontal="left"/>
    </xf>
    <xf numFmtId="0" fontId="1" fillId="6" borderId="0" xfId="0" applyFont="1" applyFill="1" applyAlignment="1">
      <alignment horizontal="center"/>
    </xf>
    <xf numFmtId="0" fontId="5" fillId="15" borderId="0" xfId="0" applyFont="1" applyFill="1" applyAlignment="1">
      <alignment horizontal="center"/>
    </xf>
    <xf numFmtId="0" fontId="5" fillId="16" borderId="0" xfId="0" applyFont="1" applyFill="1" applyAlignment="1">
      <alignment horizontal="center"/>
    </xf>
    <xf numFmtId="0" fontId="0" fillId="0" borderId="0" xfId="0" applyAlignment="1">
      <alignment vertical="center" wrapText="1"/>
    </xf>
    <xf numFmtId="0" fontId="0" fillId="0" borderId="0" xfId="0" applyAlignment="1">
      <alignment vertical="center"/>
    </xf>
    <xf numFmtId="0" fontId="5" fillId="10" borderId="0" xfId="0" applyFont="1" applyFill="1" applyAlignment="1">
      <alignment horizontal="center"/>
    </xf>
    <xf numFmtId="0" fontId="5" fillId="12" borderId="0" xfId="0" applyFont="1" applyFill="1" applyAlignment="1">
      <alignment horizontal="center"/>
    </xf>
    <xf numFmtId="0" fontId="6" fillId="13" borderId="0" xfId="0" applyFont="1" applyFill="1"/>
    <xf numFmtId="0" fontId="0" fillId="0" borderId="0" xfId="0" applyAlignment="1">
      <alignment wrapText="1"/>
    </xf>
    <xf numFmtId="0" fontId="0" fillId="0" borderId="0" xfId="0"/>
    <xf numFmtId="0" fontId="6" fillId="13" borderId="0" xfId="0" applyFont="1" applyFill="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6" fillId="13" borderId="0" xfId="0" applyFont="1" applyFill="1" applyAlignment="1">
      <alignment horizontal="center"/>
    </xf>
    <xf numFmtId="0" fontId="5" fillId="14" borderId="0" xfId="0" applyFont="1" applyFill="1" applyAlignment="1">
      <alignment horizontal="center"/>
    </xf>
    <xf numFmtId="0" fontId="5" fillId="5" borderId="0" xfId="0" applyFont="1" applyFill="1" applyAlignment="1">
      <alignment horizontal="center"/>
    </xf>
    <xf numFmtId="0" fontId="0" fillId="5" borderId="0" xfId="0" applyFill="1" applyAlignment="1">
      <alignment horizontal="center"/>
    </xf>
    <xf numFmtId="0" fontId="7" fillId="6" borderId="0" xfId="0" applyFont="1" applyFill="1" applyAlignment="1">
      <alignment horizontal="center"/>
    </xf>
    <xf numFmtId="0" fontId="5" fillId="11" borderId="0" xfId="0" applyFont="1" applyFill="1" applyAlignment="1">
      <alignment horizontal="center"/>
    </xf>
    <xf numFmtId="0" fontId="0" fillId="10" borderId="0" xfId="0" applyFill="1" applyAlignment="1">
      <alignment horizontal="center"/>
    </xf>
    <xf numFmtId="0" fontId="6" fillId="12" borderId="0" xfId="0" applyFont="1" applyFill="1"/>
    <xf numFmtId="0" fontId="1" fillId="0" borderId="0" xfId="0" applyFont="1" applyAlignment="1">
      <alignment horizontal="center"/>
    </xf>
    <xf numFmtId="0" fontId="0" fillId="2" borderId="0" xfId="0" applyFill="1" applyAlignment="1">
      <alignment horizontal="center"/>
    </xf>
    <xf numFmtId="0" fontId="8" fillId="6" borderId="0" xfId="0" applyFont="1" applyFill="1" applyAlignment="1">
      <alignment horizontal="center"/>
    </xf>
    <xf numFmtId="0" fontId="5" fillId="17" borderId="0" xfId="0" applyFont="1" applyFill="1" applyAlignment="1">
      <alignment horizontal="center"/>
    </xf>
    <xf numFmtId="0" fontId="8" fillId="2" borderId="0" xfId="0" applyFont="1" applyFill="1" applyAlignment="1">
      <alignment horizontal="center" vertical="center"/>
    </xf>
    <xf numFmtId="10" fontId="8" fillId="2" borderId="0" xfId="0" applyNumberFormat="1" applyFont="1" applyFill="1" applyAlignment="1">
      <alignment horizontal="center" vertical="center"/>
    </xf>
  </cellXfs>
  <cellStyles count="2">
    <cellStyle name="Normal" xfId="0" builtinId="0"/>
    <cellStyle name="Percent" xfId="1" builtinId="5"/>
  </cellStyles>
  <dxfs count="2">
    <dxf>
      <numFmt numFmtId="19" formatCode="dd/mm/yyyy"/>
    </dxf>
    <dxf>
      <font>
        <b/>
        <i val="0"/>
        <strike val="0"/>
        <condense val="0"/>
        <extend val="0"/>
        <outline val="0"/>
        <shadow val="0"/>
        <u val="none"/>
        <vertAlign val="baseline"/>
        <sz val="11"/>
        <color theme="1"/>
        <name val="Aptos Narrow"/>
        <scheme val="minor"/>
      </font>
    </dxf>
  </dxfs>
  <tableStyles count="0" defaultTableStyle="TableStyleMedium2" defaultPivotStyle="PivotStyleLight16"/>
  <colors>
    <mruColors>
      <color rgb="FFCCCCFF"/>
      <color rgb="FFFFCC66"/>
      <color rgb="FFCCFFCC"/>
      <color rgb="FF99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Demand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DASHBOARD!$V$1</c:f>
              <c:strCache>
                <c:ptCount val="1"/>
                <c:pt idx="0">
                  <c:v>Count</c:v>
                </c:pt>
              </c:strCache>
            </c:strRef>
          </c:tx>
          <c:spPr>
            <a:solidFill>
              <a:schemeClr val="accent1"/>
            </a:solidFill>
            <a:ln>
              <a:noFill/>
            </a:ln>
            <a:effectLst/>
          </c:spPr>
          <c:invertIfNegative val="0"/>
          <c:cat>
            <c:strRef>
              <c:f>DASHBOARD!$U$2:$U$8</c:f>
              <c:strCache>
                <c:ptCount val="7"/>
                <c:pt idx="0">
                  <c:v>SQL</c:v>
                </c:pt>
                <c:pt idx="1">
                  <c:v>Excel</c:v>
                </c:pt>
                <c:pt idx="2">
                  <c:v>Python</c:v>
                </c:pt>
                <c:pt idx="3">
                  <c:v>PowerBI</c:v>
                </c:pt>
                <c:pt idx="4">
                  <c:v>ETL</c:v>
                </c:pt>
                <c:pt idx="5">
                  <c:v>PySpark</c:v>
                </c:pt>
                <c:pt idx="6">
                  <c:v>Tableau</c:v>
                </c:pt>
              </c:strCache>
            </c:strRef>
          </c:cat>
          <c:val>
            <c:numRef>
              <c:f>DASHBOARD!$V$2:$V$8</c:f>
              <c:numCache>
                <c:formatCode>General</c:formatCode>
                <c:ptCount val="7"/>
                <c:pt idx="0">
                  <c:v>144</c:v>
                </c:pt>
                <c:pt idx="1">
                  <c:v>86</c:v>
                </c:pt>
                <c:pt idx="2">
                  <c:v>80</c:v>
                </c:pt>
                <c:pt idx="3">
                  <c:v>63</c:v>
                </c:pt>
                <c:pt idx="4">
                  <c:v>44</c:v>
                </c:pt>
                <c:pt idx="5">
                  <c:v>32</c:v>
                </c:pt>
                <c:pt idx="6">
                  <c:v>29</c:v>
                </c:pt>
              </c:numCache>
            </c:numRef>
          </c:val>
          <c:extLst>
            <c:ext xmlns:c16="http://schemas.microsoft.com/office/drawing/2014/chart" uri="{C3380CC4-5D6E-409C-BE32-E72D297353CC}">
              <c16:uniqueId val="{00000000-84C1-4F38-86C5-D6C09C2DD5BF}"/>
            </c:ext>
          </c:extLst>
        </c:ser>
        <c:dLbls>
          <c:showLegendKey val="0"/>
          <c:showVal val="0"/>
          <c:showCatName val="0"/>
          <c:showSerName val="0"/>
          <c:showPercent val="0"/>
          <c:showBubbleSize val="0"/>
        </c:dLbls>
        <c:gapWidth val="219"/>
        <c:overlap val="-27"/>
        <c:axId val="322649280"/>
        <c:axId val="322653984"/>
      </c:barChart>
      <c:catAx>
        <c:axId val="32264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53984"/>
        <c:crosses val="autoZero"/>
        <c:auto val="1"/>
        <c:lblAlgn val="ctr"/>
        <c:lblOffset val="100"/>
        <c:noMultiLvlLbl val="0"/>
      </c:catAx>
      <c:valAx>
        <c:axId val="32265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4928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Role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lotArea>
      <c:layout>
        <c:manualLayout>
          <c:layoutTarget val="inner"/>
          <c:xMode val="edge"/>
          <c:yMode val="edge"/>
          <c:x val="0.33108345001889544"/>
          <c:y val="0.21186610729545569"/>
          <c:w val="0.35517237424718701"/>
          <c:h val="0.50387376184886901"/>
        </c:manualLayout>
      </c:layout>
      <c:doughnutChart>
        <c:varyColors val="1"/>
        <c:ser>
          <c:idx val="0"/>
          <c:order val="0"/>
          <c:tx>
            <c:strRef>
              <c:f>DASHBOARD!$V$12</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710-4922-AE2A-46E7C12E6E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710-4922-AE2A-46E7C12E6E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710-4922-AE2A-46E7C12E6E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710-4922-AE2A-46E7C12E6E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8710-4922-AE2A-46E7C12E6E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DASHBOARD!$U$13:$U$17</c:f>
              <c:strCache>
                <c:ptCount val="5"/>
                <c:pt idx="0">
                  <c:v>Data Analyst</c:v>
                </c:pt>
                <c:pt idx="1">
                  <c:v>Business Analyst</c:v>
                </c:pt>
                <c:pt idx="2">
                  <c:v>Data Engineer</c:v>
                </c:pt>
                <c:pt idx="3">
                  <c:v>BI Developer</c:v>
                </c:pt>
                <c:pt idx="4">
                  <c:v>MIS Analyst</c:v>
                </c:pt>
              </c:strCache>
            </c:strRef>
          </c:cat>
          <c:val>
            <c:numRef>
              <c:f>DASHBOARD!$V$13:$V$17</c:f>
              <c:numCache>
                <c:formatCode>General</c:formatCode>
                <c:ptCount val="5"/>
              </c:numCache>
            </c:numRef>
          </c:val>
          <c:extLst>
            <c:ext xmlns:c16="http://schemas.microsoft.com/office/drawing/2014/chart" uri="{C3380CC4-5D6E-409C-BE32-E72D297353CC}">
              <c16:uniqueId val="{00000000-6E05-42EE-8BA5-8D7EF2EA68D2}"/>
            </c:ext>
          </c:extLst>
        </c:ser>
        <c:ser>
          <c:idx val="1"/>
          <c:order val="1"/>
          <c:tx>
            <c:strRef>
              <c:f>DASHBOARD!$W$12</c:f>
              <c:strCache>
                <c:ptCount val="1"/>
                <c:pt idx="0">
                  <c:v>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6E05-42EE-8BA5-8D7EF2EA68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6E05-42EE-8BA5-8D7EF2EA68D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8-6E05-42EE-8BA5-8D7EF2EA68D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E05-42EE-8BA5-8D7EF2EA68D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6-6E05-42EE-8BA5-8D7EF2EA68D2}"/>
              </c:ext>
            </c:extLst>
          </c:dPt>
          <c:dLbls>
            <c:dLbl>
              <c:idx val="0"/>
              <c:layout>
                <c:manualLayout>
                  <c:x val="6.5888204673393291E-2"/>
                  <c:y val="-5.9036130576764448E-2"/>
                </c:manualLayout>
              </c:layout>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E05-42EE-8BA5-8D7EF2EA68D2}"/>
                </c:ext>
              </c:extLst>
            </c:dLbl>
            <c:dLbl>
              <c:idx val="1"/>
              <c:layout>
                <c:manualLayout>
                  <c:x val="8.6695006149201698E-2"/>
                  <c:y val="3.4437742836445899E-2"/>
                </c:manualLayout>
              </c:layout>
              <c:tx>
                <c:rich>
                  <a:bodyPr/>
                  <a:lstStyle/>
                  <a:p>
                    <a:r>
                      <a:rPr lang="en-US"/>
                      <a:t>25%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E05-42EE-8BA5-8D7EF2EA68D2}"/>
                </c:ext>
              </c:extLst>
            </c:dLbl>
            <c:dLbl>
              <c:idx val="2"/>
              <c:layout>
                <c:manualLayout>
                  <c:x val="-7.2823805165329492E-2"/>
                  <c:y val="6.3955808124828012E-2"/>
                </c:manualLayout>
              </c:layout>
              <c:tx>
                <c:rich>
                  <a:bodyPr/>
                  <a:lstStyle/>
                  <a:p>
                    <a:r>
                      <a:rPr lang="en-US"/>
                      <a:t>26%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E05-42EE-8BA5-8D7EF2EA68D2}"/>
                </c:ext>
              </c:extLst>
            </c:dLbl>
            <c:dLbl>
              <c:idx val="3"/>
              <c:layout>
                <c:manualLayout>
                  <c:x val="-9.7098406887105901E-2"/>
                  <c:y val="-4.4277097932573305E-2"/>
                </c:manualLayout>
              </c:layout>
              <c:tx>
                <c:rich>
                  <a:bodyPr/>
                  <a:lstStyle/>
                  <a:p>
                    <a:r>
                      <a:rPr lang="en-US"/>
                      <a:t>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E05-42EE-8BA5-8D7EF2EA68D2}"/>
                </c:ext>
              </c:extLst>
            </c:dLbl>
            <c:dLbl>
              <c:idx val="4"/>
              <c:layout>
                <c:manualLayout>
                  <c:x val="-3.1210202213712675E-2"/>
                  <c:y val="-0.12791161624965619"/>
                </c:manualLayout>
              </c:layout>
              <c:tx>
                <c:rich>
                  <a:bodyPr/>
                  <a:lstStyle/>
                  <a:p>
                    <a:r>
                      <a:rPr lang="en-US"/>
                      <a:t>10%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E05-42EE-8BA5-8D7EF2EA68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DASHBOARD!$U$13:$U$17</c:f>
              <c:strCache>
                <c:ptCount val="5"/>
                <c:pt idx="0">
                  <c:v>Data Analyst</c:v>
                </c:pt>
                <c:pt idx="1">
                  <c:v>Business Analyst</c:v>
                </c:pt>
                <c:pt idx="2">
                  <c:v>Data Engineer</c:v>
                </c:pt>
                <c:pt idx="3">
                  <c:v>BI Developer</c:v>
                </c:pt>
                <c:pt idx="4">
                  <c:v>MIS Analyst</c:v>
                </c:pt>
              </c:strCache>
            </c:strRef>
          </c:cat>
          <c:val>
            <c:numRef>
              <c:f>DASHBOARD!$W$13:$W$17</c:f>
              <c:numCache>
                <c:formatCode>General</c:formatCode>
                <c:ptCount val="5"/>
                <c:pt idx="0">
                  <c:v>65</c:v>
                </c:pt>
                <c:pt idx="1">
                  <c:v>59</c:v>
                </c:pt>
                <c:pt idx="2">
                  <c:v>60</c:v>
                </c:pt>
                <c:pt idx="3">
                  <c:v>22</c:v>
                </c:pt>
                <c:pt idx="4">
                  <c:v>23</c:v>
                </c:pt>
              </c:numCache>
            </c:numRef>
          </c:val>
          <c:extLst>
            <c:ext xmlns:c16="http://schemas.microsoft.com/office/drawing/2014/chart" uri="{C3380CC4-5D6E-409C-BE32-E72D297353CC}">
              <c16:uniqueId val="{00000001-6E05-42EE-8BA5-8D7EF2EA68D2}"/>
            </c:ext>
          </c:extLst>
        </c:ser>
        <c:ser>
          <c:idx val="2"/>
          <c:order val="2"/>
          <c:tx>
            <c:strRef>
              <c:f>DASHBOARD!$X$12</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DASHBOARD!$U$13:$U$17</c:f>
              <c:strCache>
                <c:ptCount val="5"/>
                <c:pt idx="0">
                  <c:v>Data Analyst</c:v>
                </c:pt>
                <c:pt idx="1">
                  <c:v>Business Analyst</c:v>
                </c:pt>
                <c:pt idx="2">
                  <c:v>Data Engineer</c:v>
                </c:pt>
                <c:pt idx="3">
                  <c:v>BI Developer</c:v>
                </c:pt>
                <c:pt idx="4">
                  <c:v>MIS Analyst</c:v>
                </c:pt>
              </c:strCache>
            </c:strRef>
          </c:cat>
          <c:val>
            <c:numRef>
              <c:f>DASHBOARD!$X$13:$X$17</c:f>
              <c:numCache>
                <c:formatCode>General</c:formatCode>
                <c:ptCount val="5"/>
              </c:numCache>
            </c:numRef>
          </c:val>
          <c:extLst>
            <c:ext xmlns:c16="http://schemas.microsoft.com/office/drawing/2014/chart" uri="{C3380CC4-5D6E-409C-BE32-E72D297353CC}">
              <c16:uniqueId val="{00000014-B3FE-48AA-B43F-D96042235001}"/>
            </c:ext>
          </c:extLst>
        </c:ser>
        <c:ser>
          <c:idx val="3"/>
          <c:order val="3"/>
          <c:tx>
            <c:strRef>
              <c:f>DASHBOARD!$Y$12</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DASHBOARD!$U$13:$U$17</c:f>
              <c:strCache>
                <c:ptCount val="5"/>
                <c:pt idx="0">
                  <c:v>Data Analyst</c:v>
                </c:pt>
                <c:pt idx="1">
                  <c:v>Business Analyst</c:v>
                </c:pt>
                <c:pt idx="2">
                  <c:v>Data Engineer</c:v>
                </c:pt>
                <c:pt idx="3">
                  <c:v>BI Developer</c:v>
                </c:pt>
                <c:pt idx="4">
                  <c:v>MIS Analyst</c:v>
                </c:pt>
              </c:strCache>
            </c:strRef>
          </c:cat>
          <c:val>
            <c:numRef>
              <c:f>DASHBOARD!$Y$13:$Y$17</c:f>
              <c:numCache>
                <c:formatCode>General</c:formatCode>
                <c:ptCount val="5"/>
              </c:numCache>
            </c:numRef>
          </c:val>
          <c:extLst>
            <c:ext xmlns:c16="http://schemas.microsoft.com/office/drawing/2014/chart" uri="{C3380CC4-5D6E-409C-BE32-E72D297353CC}">
              <c16:uniqueId val="{00000015-B3FE-48AA-B43F-D96042235001}"/>
            </c:ext>
          </c:extLst>
        </c:ser>
        <c:ser>
          <c:idx val="4"/>
          <c:order val="4"/>
          <c:tx>
            <c:strRef>
              <c:f>DASHBOARD!$Z$12</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DASHBOARD!$U$13:$U$17</c:f>
              <c:strCache>
                <c:ptCount val="5"/>
                <c:pt idx="0">
                  <c:v>Data Analyst</c:v>
                </c:pt>
                <c:pt idx="1">
                  <c:v>Business Analyst</c:v>
                </c:pt>
                <c:pt idx="2">
                  <c:v>Data Engineer</c:v>
                </c:pt>
                <c:pt idx="3">
                  <c:v>BI Developer</c:v>
                </c:pt>
                <c:pt idx="4">
                  <c:v>MIS Analyst</c:v>
                </c:pt>
              </c:strCache>
            </c:strRef>
          </c:cat>
          <c:val>
            <c:numRef>
              <c:f>DASHBOARD!$Z$13:$Z$17</c:f>
              <c:numCache>
                <c:formatCode>General</c:formatCode>
                <c:ptCount val="5"/>
              </c:numCache>
            </c:numRef>
          </c:val>
          <c:extLst>
            <c:ext xmlns:c16="http://schemas.microsoft.com/office/drawing/2014/chart" uri="{C3380CC4-5D6E-409C-BE32-E72D297353CC}">
              <c16:uniqueId val="{00000016-B3FE-48AA-B43F-D96042235001}"/>
            </c:ext>
          </c:extLst>
        </c:ser>
        <c:ser>
          <c:idx val="5"/>
          <c:order val="5"/>
          <c:tx>
            <c:strRef>
              <c:f>DASHBOARD!$AA$12</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DASHBOARD!$U$13:$U$17</c:f>
              <c:strCache>
                <c:ptCount val="5"/>
                <c:pt idx="0">
                  <c:v>Data Analyst</c:v>
                </c:pt>
                <c:pt idx="1">
                  <c:v>Business Analyst</c:v>
                </c:pt>
                <c:pt idx="2">
                  <c:v>Data Engineer</c:v>
                </c:pt>
                <c:pt idx="3">
                  <c:v>BI Developer</c:v>
                </c:pt>
                <c:pt idx="4">
                  <c:v>MIS Analyst</c:v>
                </c:pt>
              </c:strCache>
            </c:strRef>
          </c:cat>
          <c:val>
            <c:numRef>
              <c:f>DASHBOARD!$AA$13:$AA$17</c:f>
              <c:numCache>
                <c:formatCode>General</c:formatCode>
                <c:ptCount val="5"/>
              </c:numCache>
            </c:numRef>
          </c:val>
          <c:extLst>
            <c:ext xmlns:c16="http://schemas.microsoft.com/office/drawing/2014/chart" uri="{C3380CC4-5D6E-409C-BE32-E72D297353CC}">
              <c16:uniqueId val="{00000017-B3FE-48AA-B43F-D9604223500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Posting</a:t>
            </a:r>
            <a:r>
              <a:rPr lang="en-IN" baseline="0"/>
              <a:t> Volume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DASHBOARD!$V$20</c:f>
              <c:strCache>
                <c:ptCount val="1"/>
                <c:pt idx="0">
                  <c:v>Postings</c:v>
                </c:pt>
              </c:strCache>
            </c:strRef>
          </c:tx>
          <c:spPr>
            <a:solidFill>
              <a:schemeClr val="accent1"/>
            </a:solidFill>
            <a:ln>
              <a:noFill/>
            </a:ln>
            <a:effectLst/>
          </c:spPr>
          <c:invertIfNegative val="0"/>
          <c:cat>
            <c:strRef>
              <c:f>DASHBOARD!$U$21:$U$26</c:f>
              <c:strCache>
                <c:ptCount val="6"/>
                <c:pt idx="0">
                  <c:v>Bengaluru</c:v>
                </c:pt>
                <c:pt idx="1">
                  <c:v>Delhi NCR</c:v>
                </c:pt>
                <c:pt idx="2">
                  <c:v>Hyderabad</c:v>
                </c:pt>
                <c:pt idx="3">
                  <c:v>Pune</c:v>
                </c:pt>
                <c:pt idx="4">
                  <c:v>Mumbai</c:v>
                </c:pt>
                <c:pt idx="5">
                  <c:v>Chennai</c:v>
                </c:pt>
              </c:strCache>
            </c:strRef>
          </c:cat>
          <c:val>
            <c:numRef>
              <c:f>DASHBOARD!$V$21:$V$26</c:f>
              <c:numCache>
                <c:formatCode>General</c:formatCode>
                <c:ptCount val="6"/>
                <c:pt idx="0">
                  <c:v>78</c:v>
                </c:pt>
                <c:pt idx="1">
                  <c:v>56</c:v>
                </c:pt>
                <c:pt idx="2">
                  <c:v>28</c:v>
                </c:pt>
                <c:pt idx="3">
                  <c:v>24</c:v>
                </c:pt>
                <c:pt idx="4">
                  <c:v>19</c:v>
                </c:pt>
                <c:pt idx="5">
                  <c:v>16</c:v>
                </c:pt>
              </c:numCache>
            </c:numRef>
          </c:val>
          <c:extLst>
            <c:ext xmlns:c16="http://schemas.microsoft.com/office/drawing/2014/chart" uri="{C3380CC4-5D6E-409C-BE32-E72D297353CC}">
              <c16:uniqueId val="{00000000-8348-4C13-9AA8-C2EC3CBC09A9}"/>
            </c:ext>
          </c:extLst>
        </c:ser>
        <c:dLbls>
          <c:showLegendKey val="0"/>
          <c:showVal val="0"/>
          <c:showCatName val="0"/>
          <c:showSerName val="0"/>
          <c:showPercent val="0"/>
          <c:showBubbleSize val="0"/>
        </c:dLbls>
        <c:gapWidth val="219"/>
        <c:overlap val="-27"/>
        <c:axId val="322650456"/>
        <c:axId val="322650848"/>
      </c:barChart>
      <c:catAx>
        <c:axId val="322650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50848"/>
        <c:crosses val="autoZero"/>
        <c:auto val="1"/>
        <c:lblAlgn val="ctr"/>
        <c:lblOffset val="100"/>
        <c:noMultiLvlLbl val="0"/>
      </c:catAx>
      <c:valAx>
        <c:axId val="32265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50456"/>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80000"/>
        </a:schemeClr>
      </a:solidFill>
      <a:round/>
    </a:ln>
    <a:effectLst>
      <a:outerShdw blurRad="50800" dist="50800" dir="5400000" algn="ctr" rotWithShape="0">
        <a:schemeClr val="tx2">
          <a:lumMod val="25000"/>
          <a:lumOff val="75000"/>
          <a:alpha val="90000"/>
        </a:scheme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a:t>
            </a:r>
            <a:r>
              <a:rPr lang="en-US" baseline="0"/>
              <a:t> Mode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DASHBOARD!$V$29</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80-4C1F-B431-5584294C1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80-4C1F-B431-5584294C15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B680-4C1F-B431-5584294C1579}"/>
              </c:ext>
            </c:extLst>
          </c:dPt>
          <c:dLbls>
            <c:dLbl>
              <c:idx val="0"/>
              <c:layout>
                <c:manualLayout>
                  <c:x val="9.2694587390206334E-2"/>
                  <c:y val="-7.0473885901405645E-2"/>
                </c:manualLayout>
              </c:layout>
              <c:tx>
                <c:rich>
                  <a:bodyPr/>
                  <a:lstStyle/>
                  <a:p>
                    <a:r>
                      <a:rPr lang="en-US"/>
                      <a:t>87%</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680-4C1F-B431-5584294C1579}"/>
                </c:ext>
              </c:extLst>
            </c:dLbl>
            <c:dLbl>
              <c:idx val="1"/>
              <c:layout>
                <c:manualLayout>
                  <c:x val="-4.8236387058483071E-2"/>
                  <c:y val="3.3243381108644783E-2"/>
                </c:manualLayout>
              </c:layout>
              <c:tx>
                <c:rich>
                  <a:bodyPr/>
                  <a:lstStyle/>
                  <a:p>
                    <a:r>
                      <a:rPr lang="en-US"/>
                      <a:t>4%</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680-4C1F-B431-5584294C1579}"/>
                </c:ext>
              </c:extLst>
            </c:dLbl>
            <c:dLbl>
              <c:idx val="2"/>
              <c:layout>
                <c:manualLayout>
                  <c:x val="1.8774604104564017E-2"/>
                  <c:y val="-2.9920585256240459E-2"/>
                </c:manualLayout>
              </c:layout>
              <c:tx>
                <c:rich>
                  <a:bodyPr/>
                  <a:lstStyle/>
                  <a:p>
                    <a:r>
                      <a:rPr lang="en-US"/>
                      <a:t>5%</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680-4C1F-B431-5584294C15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DASHBOARD!$U$30:$U$32</c:f>
              <c:strCache>
                <c:ptCount val="3"/>
                <c:pt idx="0">
                  <c:v>On-site</c:v>
                </c:pt>
                <c:pt idx="1">
                  <c:v>Hybrid</c:v>
                </c:pt>
                <c:pt idx="2">
                  <c:v>Remote</c:v>
                </c:pt>
              </c:strCache>
            </c:strRef>
          </c:cat>
          <c:val>
            <c:numRef>
              <c:f>DASHBOARD!$V$30:$V$32</c:f>
              <c:numCache>
                <c:formatCode>General</c:formatCode>
                <c:ptCount val="3"/>
                <c:pt idx="0">
                  <c:v>202</c:v>
                </c:pt>
                <c:pt idx="1">
                  <c:v>11</c:v>
                </c:pt>
                <c:pt idx="2">
                  <c:v>12</c:v>
                </c:pt>
              </c:numCache>
            </c:numRef>
          </c:val>
          <c:extLst>
            <c:ext xmlns:c16="http://schemas.microsoft.com/office/drawing/2014/chart" uri="{C3380CC4-5D6E-409C-BE32-E72D297353CC}">
              <c16:uniqueId val="{00000000-B680-4C1F-B431-5584294C15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80000"/>
        </a:schemeClr>
      </a:solidFill>
      <a:round/>
    </a:ln>
    <a:effectLst>
      <a:outerShdw blurRad="50800" dist="50800" dir="5400000" algn="ctr" rotWithShape="0">
        <a:schemeClr val="tx2">
          <a:lumMod val="25000"/>
          <a:lumOff val="75000"/>
          <a:alpha val="90000"/>
        </a:scheme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15240</xdr:colOff>
      <xdr:row>11</xdr:row>
      <xdr:rowOff>0</xdr:rowOff>
    </xdr:from>
    <xdr:to>
      <xdr:col>8</xdr:col>
      <xdr:colOff>0</xdr:colOff>
      <xdr:row>24</xdr:row>
      <xdr:rowOff>155510</xdr:rowOff>
    </xdr:to>
    <xdr:graphicFrame macro="">
      <xdr:nvGraphicFramePr>
        <xdr:cNvPr id="7" name="Chart 6">
          <a:extLst>
            <a:ext uri="{FF2B5EF4-FFF2-40B4-BE49-F238E27FC236}">
              <a16:creationId xmlns:a16="http://schemas.microsoft.com/office/drawing/2014/main" id="{26B6E7B7-3F9C-A882-2385-2424FC578D15}"/>
            </a:ext>
            <a:ext uri="{C183D7F6-B498-43B3-948B-1728B52AA6E4}">
              <adec:decorative xmlns:adec="http://schemas.microsoft.com/office/drawing/2017/decorative"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xdr:colOff>
      <xdr:row>11</xdr:row>
      <xdr:rowOff>15552</xdr:rowOff>
    </xdr:from>
    <xdr:to>
      <xdr:col>16</xdr:col>
      <xdr:colOff>23326</xdr:colOff>
      <xdr:row>24</xdr:row>
      <xdr:rowOff>171062</xdr:rowOff>
    </xdr:to>
    <xdr:graphicFrame macro="">
      <xdr:nvGraphicFramePr>
        <xdr:cNvPr id="2" name="Chart 1" descr="Pie cgart showing distribution of various roles">
          <a:extLst>
            <a:ext uri="{FF2B5EF4-FFF2-40B4-BE49-F238E27FC236}">
              <a16:creationId xmlns:a16="http://schemas.microsoft.com/office/drawing/2014/main" id="{61019121-C68B-F14D-C31A-4AE5AAD25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594360</xdr:colOff>
      <xdr:row>29</xdr:row>
      <xdr:rowOff>15395</xdr:rowOff>
    </xdr:from>
    <xdr:to>
      <xdr:col>8</xdr:col>
      <xdr:colOff>7620</xdr:colOff>
      <xdr:row>42</xdr:row>
      <xdr:rowOff>178837</xdr:rowOff>
    </xdr:to>
    <xdr:graphicFrame macro="">
      <xdr:nvGraphicFramePr>
        <xdr:cNvPr id="8" name="Chart 7" descr="Job postings volume by City bar chart">
          <a:extLst>
            <a:ext uri="{FF2B5EF4-FFF2-40B4-BE49-F238E27FC236}">
              <a16:creationId xmlns:a16="http://schemas.microsoft.com/office/drawing/2014/main" id="{D41CC0ED-F568-1479-3A18-DD5F4A483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18972</xdr:colOff>
      <xdr:row>29</xdr:row>
      <xdr:rowOff>7619</xdr:rowOff>
    </xdr:from>
    <xdr:to>
      <xdr:col>16</xdr:col>
      <xdr:colOff>46342</xdr:colOff>
      <xdr:row>42</xdr:row>
      <xdr:rowOff>175259</xdr:rowOff>
    </xdr:to>
    <xdr:graphicFrame macro="">
      <xdr:nvGraphicFramePr>
        <xdr:cNvPr id="9" name="Chart 8" descr="Work Mode Distribution represented by Pie chart">
          <a:extLst>
            <a:ext uri="{FF2B5EF4-FFF2-40B4-BE49-F238E27FC236}">
              <a16:creationId xmlns:a16="http://schemas.microsoft.com/office/drawing/2014/main" id="{032B38BF-53DE-514C-0B53-E24AE711C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606179</xdr:colOff>
          <xdr:row>47</xdr:row>
          <xdr:rowOff>15395</xdr:rowOff>
        </xdr:from>
        <xdr:to>
          <xdr:col>10</xdr:col>
          <xdr:colOff>205429</xdr:colOff>
          <xdr:row>55</xdr:row>
          <xdr:rowOff>23015</xdr:rowOff>
        </xdr:to>
        <xdr:pic>
          <xdr:nvPicPr>
            <xdr:cNvPr id="10" name="Picture 9" descr="Heatmap showing role distribution by city">
              <a:extLst>
                <a:ext uri="{FF2B5EF4-FFF2-40B4-BE49-F238E27FC236}">
                  <a16:creationId xmlns:a16="http://schemas.microsoft.com/office/drawing/2014/main" id="{ACF65374-E3F5-9128-6452-683E84F18B96}"/>
                </a:ext>
              </a:extLst>
            </xdr:cNvPr>
            <xdr:cNvPicPr>
              <a:picLocks noChangeAspect="1" noChangeArrowheads="1"/>
              <a:extLst>
                <a:ext uri="{84589F7E-364E-4C9E-8A38-B11213B215E9}">
                  <a14:cameraTool cellRange="CITY_TRENDS!$A$18:$F$25" spid="_x0000_s1050"/>
                </a:ext>
              </a:extLst>
            </xdr:cNvPicPr>
          </xdr:nvPicPr>
          <xdr:blipFill>
            <a:blip xmlns:r="http://schemas.openxmlformats.org/officeDocument/2006/relationships" r:embed="rId5"/>
            <a:srcRect/>
            <a:stretch>
              <a:fillRect/>
            </a:stretch>
          </xdr:blipFill>
          <xdr:spPr bwMode="auto">
            <a:xfrm>
              <a:off x="1212669" y="8902803"/>
              <a:ext cx="5057658" cy="1500518"/>
            </a:xfrm>
            <a:prstGeom prst="rect">
              <a:avLst/>
            </a:prstGeom>
            <a:noFill/>
            <a:ln>
              <a:solidFill>
                <a:schemeClr val="accent1">
                  <a:alpha val="80000"/>
                </a:schemeClr>
              </a:solidFill>
            </a:ln>
            <a:effectLst>
              <a:outerShdw blurRad="50800" dist="50800" dir="5400000" algn="ctr" rotWithShape="0">
                <a:schemeClr val="tx2">
                  <a:lumMod val="25000"/>
                  <a:lumOff val="75000"/>
                  <a:alpha val="90000"/>
                </a:schemeClr>
              </a:outerShdw>
            </a:effectLst>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RAW_DATA.xlsx" TargetMode="External"/><Relationship Id="rId1" Type="http://schemas.openxmlformats.org/officeDocument/2006/relationships/externalLinkPath" Target="/Users/kaurs/Desktop/RAW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W_DATA"/>
    </sheetNames>
    <sheetDataSet>
      <sheetData sheetId="0">
        <row r="1">
          <cell r="A1" t="str">
            <v>Job_ID</v>
          </cell>
          <cell r="F1" t="str">
            <v>City</v>
          </cell>
          <cell r="G1" t="str">
            <v>Experience_Min(years)</v>
          </cell>
          <cell r="H1" t="str">
            <v>Experience_Max(years)</v>
          </cell>
          <cell r="O1" t="str">
            <v>SQL</v>
          </cell>
          <cell r="P1" t="str">
            <v>Python</v>
          </cell>
          <cell r="Q1" t="str">
            <v>PowerBI</v>
          </cell>
          <cell r="R1" t="str">
            <v>Tableau</v>
          </cell>
          <cell r="S1" t="str">
            <v>Excel</v>
          </cell>
          <cell r="T1" t="str">
            <v>Statistics</v>
          </cell>
          <cell r="U1" t="str">
            <v>AWS</v>
          </cell>
          <cell r="V1" t="str">
            <v>GCP</v>
          </cell>
          <cell r="W1" t="str">
            <v>NoSQL</v>
          </cell>
          <cell r="X1" t="str">
            <v>Data Modeling</v>
          </cell>
          <cell r="Y1" t="str">
            <v>Pandas</v>
          </cell>
          <cell r="Z1" t="str">
            <v>Numpy</v>
          </cell>
          <cell r="AA1" t="str">
            <v>Pyspark</v>
          </cell>
          <cell r="AB1" t="str">
            <v>Hadoop</v>
          </cell>
          <cell r="AC1" t="str">
            <v>ETL</v>
          </cell>
          <cell r="AD1" t="str">
            <v>Azure</v>
          </cell>
          <cell r="AE1" t="str">
            <v>Databricks</v>
          </cell>
          <cell r="AF1" t="str">
            <v>A/B Testing</v>
          </cell>
          <cell r="AG1" t="str">
            <v>Snowflake</v>
          </cell>
          <cell r="AH1" t="str">
            <v>Agile</v>
          </cell>
          <cell r="AI1" t="str">
            <v>Jira</v>
          </cell>
          <cell r="AJ1" t="str">
            <v>Git &amp; Github</v>
          </cell>
          <cell r="AK1" t="str">
            <v>MIS Reporting</v>
          </cell>
          <cell r="AL1" t="str">
            <v>CI/CD</v>
          </cell>
          <cell r="AM1" t="str">
            <v>Python_pref</v>
          </cell>
          <cell r="AN1" t="str">
            <v>SQL_pref</v>
          </cell>
          <cell r="AO1" t="str">
            <v>Airflow_pref</v>
          </cell>
          <cell r="AP1" t="str">
            <v>Kafka_pref</v>
          </cell>
          <cell r="AQ1" t="str">
            <v>ML_pref</v>
          </cell>
          <cell r="AR1" t="str">
            <v>API_pref</v>
          </cell>
          <cell r="AS1" t="str">
            <v>Docker_pref</v>
          </cell>
          <cell r="AT1" t="str">
            <v>dbt_pref</v>
          </cell>
          <cell r="AU1" t="str">
            <v>AWS_pref</v>
          </cell>
          <cell r="AV1" t="str">
            <v>GCP_pref</v>
          </cell>
          <cell r="AW1" t="str">
            <v>Azure_pref</v>
          </cell>
          <cell r="AX1" t="str">
            <v>Tableau_pref</v>
          </cell>
          <cell r="AY1" t="str">
            <v>PowerBI_pref</v>
          </cell>
        </row>
        <row r="2">
          <cell r="A2">
            <v>1</v>
          </cell>
          <cell r="F2" t="str">
            <v>Bengaluru</v>
          </cell>
          <cell r="G2">
            <v>4</v>
          </cell>
          <cell r="H2">
            <v>6</v>
          </cell>
          <cell r="O2">
            <v>1</v>
          </cell>
          <cell r="P2">
            <v>1</v>
          </cell>
          <cell r="Q2">
            <v>0</v>
          </cell>
          <cell r="R2">
            <v>1</v>
          </cell>
          <cell r="S2">
            <v>1</v>
          </cell>
          <cell r="T2">
            <v>0</v>
          </cell>
          <cell r="U2">
            <v>0</v>
          </cell>
          <cell r="V2">
            <v>0</v>
          </cell>
          <cell r="W2">
            <v>0</v>
          </cell>
          <cell r="X2">
            <v>0</v>
          </cell>
          <cell r="Y2">
            <v>1</v>
          </cell>
          <cell r="Z2">
            <v>1</v>
          </cell>
          <cell r="AA2">
            <v>0</v>
          </cell>
          <cell r="AB2">
            <v>0</v>
          </cell>
          <cell r="AC2">
            <v>0</v>
          </cell>
          <cell r="AD2">
            <v>0</v>
          </cell>
          <cell r="AE2">
            <v>0</v>
          </cell>
          <cell r="AF2">
            <v>1</v>
          </cell>
          <cell r="AG2">
            <v>1</v>
          </cell>
          <cell r="AH2">
            <v>0</v>
          </cell>
          <cell r="AI2">
            <v>0</v>
          </cell>
          <cell r="AJ2">
            <v>0</v>
          </cell>
          <cell r="AK2">
            <v>0</v>
          </cell>
          <cell r="AL2">
            <v>0</v>
          </cell>
          <cell r="AM2">
            <v>0</v>
          </cell>
          <cell r="AN2">
            <v>0</v>
          </cell>
          <cell r="AO2">
            <v>0</v>
          </cell>
          <cell r="AP2">
            <v>0</v>
          </cell>
          <cell r="AQ2">
            <v>0</v>
          </cell>
          <cell r="AR2">
            <v>0</v>
          </cell>
          <cell r="AS2">
            <v>0</v>
          </cell>
          <cell r="AT2">
            <v>0</v>
          </cell>
          <cell r="AU2">
            <v>0</v>
          </cell>
          <cell r="AV2">
            <v>0</v>
          </cell>
          <cell r="AW2">
            <v>0</v>
          </cell>
          <cell r="AX2">
            <v>0</v>
          </cell>
          <cell r="AY2">
            <v>0</v>
          </cell>
        </row>
        <row r="3">
          <cell r="A3">
            <v>2</v>
          </cell>
          <cell r="F3" t="str">
            <v>Bengaluru</v>
          </cell>
          <cell r="G3">
            <v>3</v>
          </cell>
          <cell r="H3">
            <v>5</v>
          </cell>
          <cell r="O3">
            <v>1</v>
          </cell>
          <cell r="P3">
            <v>1</v>
          </cell>
          <cell r="Q3">
            <v>0</v>
          </cell>
          <cell r="R3">
            <v>0</v>
          </cell>
          <cell r="S3">
            <v>1</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1</v>
          </cell>
          <cell r="AL3">
            <v>0</v>
          </cell>
          <cell r="AM3">
            <v>0</v>
          </cell>
          <cell r="AN3">
            <v>0</v>
          </cell>
          <cell r="AO3">
            <v>0</v>
          </cell>
          <cell r="AP3">
            <v>0</v>
          </cell>
          <cell r="AQ3">
            <v>0</v>
          </cell>
          <cell r="AR3">
            <v>0</v>
          </cell>
          <cell r="AS3">
            <v>0</v>
          </cell>
          <cell r="AT3">
            <v>0</v>
          </cell>
          <cell r="AU3">
            <v>0</v>
          </cell>
          <cell r="AV3">
            <v>0</v>
          </cell>
          <cell r="AW3">
            <v>0</v>
          </cell>
          <cell r="AX3">
            <v>0</v>
          </cell>
          <cell r="AY3">
            <v>0</v>
          </cell>
        </row>
        <row r="4">
          <cell r="A4">
            <v>3</v>
          </cell>
          <cell r="F4" t="str">
            <v>Mumbai</v>
          </cell>
          <cell r="G4">
            <v>3</v>
          </cell>
          <cell r="H4">
            <v>5</v>
          </cell>
          <cell r="O4">
            <v>0</v>
          </cell>
          <cell r="P4">
            <v>0</v>
          </cell>
          <cell r="Q4">
            <v>1</v>
          </cell>
          <cell r="R4">
            <v>0</v>
          </cell>
          <cell r="S4">
            <v>1</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1</v>
          </cell>
          <cell r="AL4">
            <v>0</v>
          </cell>
          <cell r="AM4">
            <v>0</v>
          </cell>
          <cell r="AN4">
            <v>0</v>
          </cell>
          <cell r="AO4">
            <v>0</v>
          </cell>
          <cell r="AP4">
            <v>0</v>
          </cell>
          <cell r="AQ4">
            <v>0</v>
          </cell>
          <cell r="AR4">
            <v>0</v>
          </cell>
          <cell r="AS4">
            <v>0</v>
          </cell>
          <cell r="AT4">
            <v>0</v>
          </cell>
          <cell r="AU4">
            <v>0</v>
          </cell>
          <cell r="AV4">
            <v>0</v>
          </cell>
          <cell r="AW4">
            <v>0</v>
          </cell>
          <cell r="AX4">
            <v>0</v>
          </cell>
          <cell r="AY4">
            <v>0</v>
          </cell>
        </row>
        <row r="5">
          <cell r="A5">
            <v>4</v>
          </cell>
          <cell r="F5" t="str">
            <v>Hyderabad</v>
          </cell>
          <cell r="G5">
            <v>6</v>
          </cell>
          <cell r="H5">
            <v>10</v>
          </cell>
          <cell r="O5">
            <v>0</v>
          </cell>
          <cell r="P5">
            <v>1</v>
          </cell>
          <cell r="Q5">
            <v>0</v>
          </cell>
          <cell r="R5">
            <v>0</v>
          </cell>
          <cell r="S5">
            <v>0</v>
          </cell>
          <cell r="T5">
            <v>0</v>
          </cell>
          <cell r="U5">
            <v>1</v>
          </cell>
          <cell r="V5">
            <v>0</v>
          </cell>
          <cell r="W5">
            <v>0</v>
          </cell>
          <cell r="X5">
            <v>0</v>
          </cell>
          <cell r="Y5">
            <v>0</v>
          </cell>
          <cell r="Z5">
            <v>0</v>
          </cell>
          <cell r="AA5">
            <v>1</v>
          </cell>
          <cell r="AB5">
            <v>0</v>
          </cell>
          <cell r="AC5">
            <v>1</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row>
        <row r="6">
          <cell r="A6">
            <v>5</v>
          </cell>
          <cell r="F6" t="str">
            <v>Hyderabad</v>
          </cell>
          <cell r="G6">
            <v>5</v>
          </cell>
          <cell r="H6">
            <v>10</v>
          </cell>
          <cell r="O6">
            <v>1</v>
          </cell>
          <cell r="P6">
            <v>1</v>
          </cell>
          <cell r="Q6">
            <v>1</v>
          </cell>
          <cell r="R6">
            <v>0</v>
          </cell>
          <cell r="S6">
            <v>0</v>
          </cell>
          <cell r="T6">
            <v>0</v>
          </cell>
          <cell r="U6">
            <v>0</v>
          </cell>
          <cell r="V6">
            <v>0</v>
          </cell>
          <cell r="W6">
            <v>0</v>
          </cell>
          <cell r="X6">
            <v>0</v>
          </cell>
          <cell r="Y6">
            <v>0</v>
          </cell>
          <cell r="Z6">
            <v>0</v>
          </cell>
          <cell r="AA6">
            <v>0</v>
          </cell>
          <cell r="AB6">
            <v>0</v>
          </cell>
          <cell r="AC6">
            <v>1</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row>
        <row r="7">
          <cell r="A7">
            <v>6</v>
          </cell>
          <cell r="F7" t="str">
            <v>Bengaluru</v>
          </cell>
          <cell r="G7">
            <v>2</v>
          </cell>
          <cell r="H7">
            <v>4</v>
          </cell>
          <cell r="O7">
            <v>1</v>
          </cell>
          <cell r="P7">
            <v>1</v>
          </cell>
          <cell r="Q7">
            <v>1</v>
          </cell>
          <cell r="R7">
            <v>0</v>
          </cell>
          <cell r="S7">
            <v>0</v>
          </cell>
          <cell r="T7">
            <v>0</v>
          </cell>
          <cell r="U7">
            <v>0</v>
          </cell>
          <cell r="V7">
            <v>0</v>
          </cell>
          <cell r="W7">
            <v>0</v>
          </cell>
          <cell r="X7">
            <v>0</v>
          </cell>
          <cell r="Y7">
            <v>1</v>
          </cell>
          <cell r="Z7">
            <v>1</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1</v>
          </cell>
          <cell r="AQ7">
            <v>0</v>
          </cell>
          <cell r="AR7">
            <v>0</v>
          </cell>
          <cell r="AS7">
            <v>0</v>
          </cell>
          <cell r="AT7">
            <v>0</v>
          </cell>
          <cell r="AU7">
            <v>0</v>
          </cell>
          <cell r="AV7">
            <v>0</v>
          </cell>
          <cell r="AW7">
            <v>0</v>
          </cell>
          <cell r="AX7">
            <v>0</v>
          </cell>
          <cell r="AY7">
            <v>0</v>
          </cell>
        </row>
        <row r="8">
          <cell r="A8">
            <v>7</v>
          </cell>
          <cell r="F8" t="str">
            <v>Bengaluru</v>
          </cell>
          <cell r="G8" t="str">
            <v>ND</v>
          </cell>
          <cell r="H8" t="str">
            <v>ND</v>
          </cell>
          <cell r="O8">
            <v>1</v>
          </cell>
          <cell r="P8">
            <v>0</v>
          </cell>
          <cell r="Q8">
            <v>0</v>
          </cell>
          <cell r="R8">
            <v>0</v>
          </cell>
          <cell r="S8">
            <v>1</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row>
        <row r="9">
          <cell r="A9">
            <v>8</v>
          </cell>
          <cell r="F9" t="str">
            <v>Noida</v>
          </cell>
          <cell r="G9">
            <v>3</v>
          </cell>
          <cell r="H9" t="str">
            <v>None</v>
          </cell>
          <cell r="O9">
            <v>1</v>
          </cell>
          <cell r="P9">
            <v>1</v>
          </cell>
          <cell r="Q9">
            <v>0</v>
          </cell>
          <cell r="R9">
            <v>0</v>
          </cell>
          <cell r="S9">
            <v>0</v>
          </cell>
          <cell r="T9">
            <v>0</v>
          </cell>
          <cell r="U9">
            <v>0</v>
          </cell>
          <cell r="V9">
            <v>0</v>
          </cell>
          <cell r="W9">
            <v>0</v>
          </cell>
          <cell r="X9">
            <v>0</v>
          </cell>
          <cell r="Y9">
            <v>0</v>
          </cell>
          <cell r="Z9">
            <v>0</v>
          </cell>
          <cell r="AA9">
            <v>1</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row>
        <row r="10">
          <cell r="A10">
            <v>9</v>
          </cell>
          <cell r="F10" t="str">
            <v>Bengaluru</v>
          </cell>
          <cell r="G10">
            <v>2</v>
          </cell>
          <cell r="H10">
            <v>5</v>
          </cell>
          <cell r="O10">
            <v>1</v>
          </cell>
          <cell r="P10">
            <v>0</v>
          </cell>
          <cell r="Q10">
            <v>1</v>
          </cell>
          <cell r="R10">
            <v>1</v>
          </cell>
          <cell r="S10">
            <v>0</v>
          </cell>
          <cell r="T10">
            <v>0</v>
          </cell>
          <cell r="U10">
            <v>1</v>
          </cell>
          <cell r="V10">
            <v>0</v>
          </cell>
          <cell r="W10">
            <v>0</v>
          </cell>
          <cell r="X10">
            <v>0</v>
          </cell>
          <cell r="Y10">
            <v>0</v>
          </cell>
          <cell r="Z10">
            <v>0</v>
          </cell>
          <cell r="AA10">
            <v>0</v>
          </cell>
          <cell r="AB10">
            <v>0</v>
          </cell>
          <cell r="AC10">
            <v>0</v>
          </cell>
          <cell r="AD10">
            <v>1</v>
          </cell>
          <cell r="AE10">
            <v>0</v>
          </cell>
          <cell r="AF10">
            <v>0</v>
          </cell>
          <cell r="AG10">
            <v>1</v>
          </cell>
          <cell r="AH10">
            <v>0</v>
          </cell>
          <cell r="AI10">
            <v>0</v>
          </cell>
          <cell r="AJ10">
            <v>0</v>
          </cell>
          <cell r="AK10">
            <v>0</v>
          </cell>
          <cell r="AL10">
            <v>0</v>
          </cell>
          <cell r="AM10">
            <v>1</v>
          </cell>
          <cell r="AN10">
            <v>0</v>
          </cell>
          <cell r="AO10">
            <v>0</v>
          </cell>
          <cell r="AP10">
            <v>0</v>
          </cell>
          <cell r="AQ10">
            <v>0</v>
          </cell>
          <cell r="AR10">
            <v>0</v>
          </cell>
          <cell r="AS10">
            <v>0</v>
          </cell>
          <cell r="AT10">
            <v>0</v>
          </cell>
          <cell r="AU10">
            <v>0</v>
          </cell>
          <cell r="AV10">
            <v>0</v>
          </cell>
          <cell r="AW10">
            <v>0</v>
          </cell>
          <cell r="AX10">
            <v>0</v>
          </cell>
          <cell r="AY10">
            <v>0</v>
          </cell>
        </row>
        <row r="11">
          <cell r="A11">
            <v>10</v>
          </cell>
          <cell r="F11" t="str">
            <v>Mumbai</v>
          </cell>
          <cell r="G11" t="str">
            <v>ND</v>
          </cell>
          <cell r="H11" t="str">
            <v>ND</v>
          </cell>
          <cell r="O11">
            <v>0</v>
          </cell>
          <cell r="P11">
            <v>1</v>
          </cell>
          <cell r="Q11">
            <v>1</v>
          </cell>
          <cell r="R11">
            <v>0</v>
          </cell>
          <cell r="S11">
            <v>1</v>
          </cell>
          <cell r="T11">
            <v>0</v>
          </cell>
          <cell r="U11">
            <v>0</v>
          </cell>
          <cell r="V11">
            <v>0</v>
          </cell>
          <cell r="W11">
            <v>0</v>
          </cell>
          <cell r="X11">
            <v>0</v>
          </cell>
          <cell r="Y11">
            <v>0</v>
          </cell>
          <cell r="Z11">
            <v>0</v>
          </cell>
          <cell r="AA11">
            <v>0</v>
          </cell>
          <cell r="AB11">
            <v>0</v>
          </cell>
          <cell r="AC11">
            <v>0</v>
          </cell>
          <cell r="AD11">
            <v>0</v>
          </cell>
          <cell r="AE11">
            <v>1</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row>
        <row r="12">
          <cell r="A12">
            <v>11</v>
          </cell>
          <cell r="F12" t="str">
            <v>Hyderabad</v>
          </cell>
          <cell r="G12">
            <v>2</v>
          </cell>
          <cell r="H12" t="str">
            <v>ND</v>
          </cell>
          <cell r="O12">
            <v>1</v>
          </cell>
          <cell r="P12">
            <v>1</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1</v>
          </cell>
          <cell r="AX12">
            <v>0</v>
          </cell>
          <cell r="AY12">
            <v>0</v>
          </cell>
        </row>
        <row r="13">
          <cell r="A13">
            <v>12</v>
          </cell>
          <cell r="F13" t="str">
            <v>Pune</v>
          </cell>
          <cell r="G13">
            <v>5</v>
          </cell>
          <cell r="H13">
            <v>8</v>
          </cell>
          <cell r="O13">
            <v>1</v>
          </cell>
          <cell r="P13">
            <v>0</v>
          </cell>
          <cell r="Q13">
            <v>0</v>
          </cell>
          <cell r="R13">
            <v>0</v>
          </cell>
          <cell r="S13">
            <v>0</v>
          </cell>
          <cell r="T13">
            <v>0</v>
          </cell>
          <cell r="U13">
            <v>0</v>
          </cell>
          <cell r="V13">
            <v>0</v>
          </cell>
          <cell r="W13">
            <v>0</v>
          </cell>
          <cell r="X13">
            <v>0</v>
          </cell>
          <cell r="Y13">
            <v>0</v>
          </cell>
          <cell r="Z13">
            <v>0</v>
          </cell>
          <cell r="AA13">
            <v>0</v>
          </cell>
          <cell r="AB13">
            <v>0</v>
          </cell>
          <cell r="AC13">
            <v>1</v>
          </cell>
          <cell r="AD13">
            <v>0</v>
          </cell>
          <cell r="AE13">
            <v>0</v>
          </cell>
          <cell r="AF13">
            <v>0</v>
          </cell>
          <cell r="AG13">
            <v>0</v>
          </cell>
          <cell r="AH13">
            <v>0</v>
          </cell>
          <cell r="AI13">
            <v>0</v>
          </cell>
          <cell r="AJ13">
            <v>0</v>
          </cell>
          <cell r="AK13">
            <v>0</v>
          </cell>
          <cell r="AL13">
            <v>0</v>
          </cell>
          <cell r="AM13">
            <v>1</v>
          </cell>
          <cell r="AN13">
            <v>0</v>
          </cell>
          <cell r="AO13">
            <v>0</v>
          </cell>
          <cell r="AP13">
            <v>0</v>
          </cell>
          <cell r="AQ13">
            <v>0</v>
          </cell>
          <cell r="AR13">
            <v>0</v>
          </cell>
          <cell r="AS13">
            <v>0</v>
          </cell>
          <cell r="AT13">
            <v>0</v>
          </cell>
          <cell r="AU13">
            <v>0</v>
          </cell>
          <cell r="AV13">
            <v>0</v>
          </cell>
          <cell r="AW13">
            <v>0</v>
          </cell>
          <cell r="AX13">
            <v>0</v>
          </cell>
          <cell r="AY13">
            <v>0</v>
          </cell>
        </row>
        <row r="14">
          <cell r="A14">
            <v>13</v>
          </cell>
          <cell r="F14" t="str">
            <v>Bengaluru</v>
          </cell>
          <cell r="G14">
            <v>7</v>
          </cell>
          <cell r="H14">
            <v>10</v>
          </cell>
          <cell r="O14">
            <v>1</v>
          </cell>
          <cell r="P14">
            <v>0</v>
          </cell>
          <cell r="Q14">
            <v>1</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1</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row>
        <row r="15">
          <cell r="A15">
            <v>14</v>
          </cell>
          <cell r="F15" t="str">
            <v>Gurgaon</v>
          </cell>
          <cell r="G15">
            <v>2</v>
          </cell>
          <cell r="H15" t="str">
            <v>ND</v>
          </cell>
          <cell r="O15">
            <v>1</v>
          </cell>
          <cell r="P15">
            <v>1</v>
          </cell>
          <cell r="Q15">
            <v>0</v>
          </cell>
          <cell r="R15">
            <v>1</v>
          </cell>
          <cell r="S15">
            <v>1</v>
          </cell>
          <cell r="T15">
            <v>1</v>
          </cell>
          <cell r="U15">
            <v>0</v>
          </cell>
          <cell r="V15">
            <v>0</v>
          </cell>
          <cell r="W15">
            <v>0</v>
          </cell>
          <cell r="X15">
            <v>0</v>
          </cell>
          <cell r="Y15">
            <v>1</v>
          </cell>
          <cell r="Z15">
            <v>1</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1</v>
          </cell>
          <cell r="AV15">
            <v>1</v>
          </cell>
          <cell r="AW15">
            <v>1</v>
          </cell>
          <cell r="AX15">
            <v>0</v>
          </cell>
          <cell r="AY15">
            <v>0</v>
          </cell>
        </row>
        <row r="16">
          <cell r="A16">
            <v>15</v>
          </cell>
          <cell r="F16" t="str">
            <v>Hyderabad</v>
          </cell>
          <cell r="G16">
            <v>2</v>
          </cell>
          <cell r="H16">
            <v>5</v>
          </cell>
          <cell r="O16">
            <v>1</v>
          </cell>
          <cell r="P16">
            <v>0</v>
          </cell>
          <cell r="Q16">
            <v>1</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row>
        <row r="17">
          <cell r="A17">
            <v>16</v>
          </cell>
          <cell r="F17" t="str">
            <v>Pune</v>
          </cell>
          <cell r="G17" t="str">
            <v>ND</v>
          </cell>
          <cell r="H17" t="str">
            <v>ND</v>
          </cell>
          <cell r="O17">
            <v>1</v>
          </cell>
          <cell r="P17">
            <v>1</v>
          </cell>
          <cell r="Q17">
            <v>0</v>
          </cell>
          <cell r="R17">
            <v>0</v>
          </cell>
          <cell r="S17">
            <v>1</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row>
        <row r="18">
          <cell r="A18">
            <v>17</v>
          </cell>
          <cell r="F18" t="str">
            <v>Bengaluru</v>
          </cell>
          <cell r="G18" t="str">
            <v>ND</v>
          </cell>
          <cell r="H18" t="str">
            <v>ND</v>
          </cell>
          <cell r="O18">
            <v>1</v>
          </cell>
          <cell r="P18">
            <v>1</v>
          </cell>
          <cell r="Q18">
            <v>0</v>
          </cell>
          <cell r="R18">
            <v>0</v>
          </cell>
          <cell r="S18">
            <v>1</v>
          </cell>
          <cell r="T18">
            <v>1</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1</v>
          </cell>
          <cell r="AK18">
            <v>0</v>
          </cell>
          <cell r="AL18">
            <v>0</v>
          </cell>
          <cell r="AM18">
            <v>0</v>
          </cell>
          <cell r="AN18">
            <v>0</v>
          </cell>
          <cell r="AO18">
            <v>0</v>
          </cell>
          <cell r="AP18">
            <v>0</v>
          </cell>
          <cell r="AQ18">
            <v>0</v>
          </cell>
          <cell r="AR18">
            <v>0</v>
          </cell>
          <cell r="AS18">
            <v>0</v>
          </cell>
          <cell r="AT18">
            <v>0</v>
          </cell>
          <cell r="AU18">
            <v>0</v>
          </cell>
          <cell r="AV18">
            <v>1</v>
          </cell>
          <cell r="AW18">
            <v>0</v>
          </cell>
          <cell r="AX18">
            <v>0</v>
          </cell>
          <cell r="AY18">
            <v>0</v>
          </cell>
        </row>
        <row r="19">
          <cell r="A19">
            <v>18</v>
          </cell>
          <cell r="F19" t="str">
            <v>Bengaluru</v>
          </cell>
          <cell r="G19">
            <v>3</v>
          </cell>
          <cell r="H19">
            <v>5</v>
          </cell>
          <cell r="O19">
            <v>1</v>
          </cell>
          <cell r="P19">
            <v>1</v>
          </cell>
          <cell r="Q19">
            <v>0</v>
          </cell>
          <cell r="R19">
            <v>0</v>
          </cell>
          <cell r="S19">
            <v>0</v>
          </cell>
          <cell r="T19">
            <v>0</v>
          </cell>
          <cell r="U19">
            <v>0</v>
          </cell>
          <cell r="V19">
            <v>0</v>
          </cell>
          <cell r="W19">
            <v>0</v>
          </cell>
          <cell r="X19">
            <v>1</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1</v>
          </cell>
          <cell r="AV19">
            <v>1</v>
          </cell>
          <cell r="AW19">
            <v>0</v>
          </cell>
          <cell r="AX19">
            <v>0</v>
          </cell>
          <cell r="AY19">
            <v>0</v>
          </cell>
        </row>
        <row r="20">
          <cell r="A20">
            <v>19</v>
          </cell>
          <cell r="F20" t="str">
            <v>Gurgaon</v>
          </cell>
          <cell r="G20">
            <v>4</v>
          </cell>
          <cell r="H20">
            <v>6</v>
          </cell>
          <cell r="O20">
            <v>1</v>
          </cell>
          <cell r="P20">
            <v>1</v>
          </cell>
          <cell r="Q20">
            <v>0</v>
          </cell>
          <cell r="R20">
            <v>0</v>
          </cell>
          <cell r="S20">
            <v>0</v>
          </cell>
          <cell r="T20">
            <v>0</v>
          </cell>
          <cell r="U20">
            <v>0</v>
          </cell>
          <cell r="V20">
            <v>0</v>
          </cell>
          <cell r="W20">
            <v>0</v>
          </cell>
          <cell r="X20">
            <v>0</v>
          </cell>
          <cell r="Y20">
            <v>0</v>
          </cell>
          <cell r="Z20">
            <v>0</v>
          </cell>
          <cell r="AA20">
            <v>1</v>
          </cell>
          <cell r="AB20">
            <v>1</v>
          </cell>
          <cell r="AC20">
            <v>0</v>
          </cell>
          <cell r="AD20">
            <v>0</v>
          </cell>
          <cell r="AE20">
            <v>0</v>
          </cell>
          <cell r="AF20">
            <v>0</v>
          </cell>
          <cell r="AG20">
            <v>0</v>
          </cell>
          <cell r="AH20">
            <v>0</v>
          </cell>
          <cell r="AI20">
            <v>0</v>
          </cell>
          <cell r="AJ20">
            <v>0</v>
          </cell>
          <cell r="AK20">
            <v>0</v>
          </cell>
          <cell r="AL20">
            <v>0</v>
          </cell>
          <cell r="AM20">
            <v>0</v>
          </cell>
          <cell r="AN20">
            <v>0</v>
          </cell>
          <cell r="AO20">
            <v>1</v>
          </cell>
          <cell r="AP20">
            <v>0</v>
          </cell>
          <cell r="AQ20">
            <v>0</v>
          </cell>
          <cell r="AR20">
            <v>0</v>
          </cell>
          <cell r="AS20">
            <v>0</v>
          </cell>
          <cell r="AT20">
            <v>0</v>
          </cell>
          <cell r="AU20">
            <v>0</v>
          </cell>
          <cell r="AV20">
            <v>0</v>
          </cell>
          <cell r="AW20">
            <v>0</v>
          </cell>
          <cell r="AX20">
            <v>0</v>
          </cell>
          <cell r="AY20">
            <v>0</v>
          </cell>
        </row>
        <row r="21">
          <cell r="A21">
            <v>20</v>
          </cell>
          <cell r="F21" t="str">
            <v>Gurgaon</v>
          </cell>
          <cell r="G21">
            <v>2</v>
          </cell>
          <cell r="H21">
            <v>4</v>
          </cell>
          <cell r="O21">
            <v>1</v>
          </cell>
          <cell r="P21">
            <v>0</v>
          </cell>
          <cell r="Q21">
            <v>0</v>
          </cell>
          <cell r="R21">
            <v>0</v>
          </cell>
          <cell r="S21">
            <v>0</v>
          </cell>
          <cell r="T21">
            <v>0</v>
          </cell>
          <cell r="U21">
            <v>0</v>
          </cell>
          <cell r="V21">
            <v>0</v>
          </cell>
          <cell r="W21">
            <v>0</v>
          </cell>
          <cell r="X21">
            <v>0</v>
          </cell>
          <cell r="Y21">
            <v>0</v>
          </cell>
          <cell r="Z21">
            <v>0</v>
          </cell>
          <cell r="AA21">
            <v>1</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row>
        <row r="22">
          <cell r="A22">
            <v>21</v>
          </cell>
          <cell r="F22" t="str">
            <v>Pune</v>
          </cell>
          <cell r="G22">
            <v>6</v>
          </cell>
          <cell r="H22">
            <v>10</v>
          </cell>
          <cell r="O22">
            <v>1</v>
          </cell>
          <cell r="P22">
            <v>1</v>
          </cell>
          <cell r="Q22">
            <v>0</v>
          </cell>
          <cell r="R22">
            <v>0</v>
          </cell>
          <cell r="S22">
            <v>0</v>
          </cell>
          <cell r="T22">
            <v>0</v>
          </cell>
          <cell r="U22">
            <v>1</v>
          </cell>
          <cell r="V22">
            <v>0</v>
          </cell>
          <cell r="W22">
            <v>0</v>
          </cell>
          <cell r="X22">
            <v>0</v>
          </cell>
          <cell r="Y22">
            <v>0</v>
          </cell>
          <cell r="Z22">
            <v>0</v>
          </cell>
          <cell r="AA22">
            <v>0</v>
          </cell>
          <cell r="AB22">
            <v>0</v>
          </cell>
          <cell r="AC22">
            <v>0</v>
          </cell>
          <cell r="AD22">
            <v>0</v>
          </cell>
          <cell r="AE22">
            <v>1</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row>
        <row r="23">
          <cell r="A23">
            <v>22</v>
          </cell>
          <cell r="F23" t="str">
            <v>Gurgaon</v>
          </cell>
          <cell r="G23">
            <v>3</v>
          </cell>
          <cell r="H23" t="str">
            <v>ND</v>
          </cell>
          <cell r="O23">
            <v>0</v>
          </cell>
          <cell r="P23">
            <v>0</v>
          </cell>
          <cell r="Q23">
            <v>0</v>
          </cell>
          <cell r="R23">
            <v>0</v>
          </cell>
          <cell r="S23">
            <v>0</v>
          </cell>
          <cell r="T23">
            <v>0</v>
          </cell>
          <cell r="U23">
            <v>0</v>
          </cell>
          <cell r="V23">
            <v>0</v>
          </cell>
          <cell r="W23">
            <v>0</v>
          </cell>
          <cell r="X23">
            <v>0</v>
          </cell>
          <cell r="Y23">
            <v>0</v>
          </cell>
          <cell r="Z23">
            <v>0</v>
          </cell>
          <cell r="AA23">
            <v>1</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row>
        <row r="24">
          <cell r="A24">
            <v>23</v>
          </cell>
          <cell r="F24" t="str">
            <v>Gurgaon</v>
          </cell>
          <cell r="G24">
            <v>3</v>
          </cell>
          <cell r="H24" t="str">
            <v>ND</v>
          </cell>
          <cell r="O24">
            <v>1</v>
          </cell>
          <cell r="P24">
            <v>1</v>
          </cell>
          <cell r="Q24">
            <v>0</v>
          </cell>
          <cell r="R24">
            <v>0</v>
          </cell>
          <cell r="S24">
            <v>0</v>
          </cell>
          <cell r="T24">
            <v>0</v>
          </cell>
          <cell r="U24">
            <v>0</v>
          </cell>
          <cell r="V24">
            <v>0</v>
          </cell>
          <cell r="W24">
            <v>0</v>
          </cell>
          <cell r="X24">
            <v>0</v>
          </cell>
          <cell r="Y24">
            <v>0</v>
          </cell>
          <cell r="Z24">
            <v>0</v>
          </cell>
          <cell r="AA24">
            <v>1</v>
          </cell>
          <cell r="AB24">
            <v>1</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row>
        <row r="25">
          <cell r="A25">
            <v>24</v>
          </cell>
          <cell r="F25" t="str">
            <v>Pune</v>
          </cell>
          <cell r="G25" t="str">
            <v>ND</v>
          </cell>
          <cell r="H25" t="str">
            <v>ND</v>
          </cell>
          <cell r="O25">
            <v>0</v>
          </cell>
          <cell r="P25">
            <v>0</v>
          </cell>
          <cell r="Q25">
            <v>0</v>
          </cell>
          <cell r="R25">
            <v>0</v>
          </cell>
          <cell r="S25">
            <v>0</v>
          </cell>
          <cell r="T25">
            <v>0</v>
          </cell>
          <cell r="U25">
            <v>1</v>
          </cell>
          <cell r="V25">
            <v>0</v>
          </cell>
          <cell r="W25">
            <v>0</v>
          </cell>
          <cell r="X25">
            <v>0</v>
          </cell>
          <cell r="Y25">
            <v>0</v>
          </cell>
          <cell r="Z25">
            <v>0</v>
          </cell>
          <cell r="AA25">
            <v>1</v>
          </cell>
          <cell r="AB25">
            <v>0</v>
          </cell>
          <cell r="AC25">
            <v>0</v>
          </cell>
          <cell r="AD25">
            <v>0</v>
          </cell>
          <cell r="AE25">
            <v>0</v>
          </cell>
          <cell r="AF25">
            <v>0</v>
          </cell>
          <cell r="AG25">
            <v>1</v>
          </cell>
          <cell r="AH25">
            <v>0</v>
          </cell>
          <cell r="AI25">
            <v>0</v>
          </cell>
          <cell r="AJ25">
            <v>0</v>
          </cell>
          <cell r="AK25">
            <v>0</v>
          </cell>
          <cell r="AL25">
            <v>0</v>
          </cell>
          <cell r="AM25">
            <v>0</v>
          </cell>
          <cell r="AN25">
            <v>0</v>
          </cell>
          <cell r="AO25">
            <v>1</v>
          </cell>
          <cell r="AP25">
            <v>0</v>
          </cell>
          <cell r="AQ25">
            <v>0</v>
          </cell>
          <cell r="AR25">
            <v>1</v>
          </cell>
          <cell r="AS25">
            <v>0</v>
          </cell>
          <cell r="AT25">
            <v>0</v>
          </cell>
          <cell r="AU25">
            <v>0</v>
          </cell>
          <cell r="AV25">
            <v>0</v>
          </cell>
          <cell r="AW25">
            <v>0</v>
          </cell>
          <cell r="AX25">
            <v>0</v>
          </cell>
          <cell r="AY25">
            <v>0</v>
          </cell>
        </row>
        <row r="26">
          <cell r="A26">
            <v>25</v>
          </cell>
          <cell r="F26" t="str">
            <v>Gurgaon</v>
          </cell>
          <cell r="G26">
            <v>4</v>
          </cell>
          <cell r="H26" t="str">
            <v>ND</v>
          </cell>
          <cell r="O26">
            <v>1</v>
          </cell>
          <cell r="P26">
            <v>1</v>
          </cell>
          <cell r="Q26">
            <v>0</v>
          </cell>
          <cell r="R26">
            <v>0</v>
          </cell>
          <cell r="S26">
            <v>0</v>
          </cell>
          <cell r="T26">
            <v>0</v>
          </cell>
          <cell r="U26">
            <v>0</v>
          </cell>
          <cell r="V26">
            <v>1</v>
          </cell>
          <cell r="W26">
            <v>0</v>
          </cell>
          <cell r="X26">
            <v>0</v>
          </cell>
          <cell r="Y26">
            <v>0</v>
          </cell>
          <cell r="Z26">
            <v>0</v>
          </cell>
          <cell r="AA26">
            <v>0</v>
          </cell>
          <cell r="AB26">
            <v>0</v>
          </cell>
          <cell r="AC26">
            <v>1</v>
          </cell>
          <cell r="AD26">
            <v>0</v>
          </cell>
          <cell r="AE26">
            <v>0</v>
          </cell>
          <cell r="AF26">
            <v>0</v>
          </cell>
          <cell r="AG26">
            <v>0</v>
          </cell>
          <cell r="AH26">
            <v>0</v>
          </cell>
          <cell r="AI26">
            <v>0</v>
          </cell>
          <cell r="AJ26">
            <v>1</v>
          </cell>
          <cell r="AK26">
            <v>0</v>
          </cell>
          <cell r="AL26">
            <v>1</v>
          </cell>
          <cell r="AM26">
            <v>0</v>
          </cell>
          <cell r="AN26">
            <v>0</v>
          </cell>
          <cell r="AO26">
            <v>0</v>
          </cell>
          <cell r="AP26">
            <v>0</v>
          </cell>
          <cell r="AQ26">
            <v>1</v>
          </cell>
          <cell r="AR26">
            <v>0</v>
          </cell>
          <cell r="AS26">
            <v>0</v>
          </cell>
          <cell r="AT26">
            <v>0</v>
          </cell>
          <cell r="AU26">
            <v>0</v>
          </cell>
          <cell r="AV26">
            <v>0</v>
          </cell>
          <cell r="AW26">
            <v>0</v>
          </cell>
          <cell r="AX26">
            <v>0</v>
          </cell>
          <cell r="AY26">
            <v>0</v>
          </cell>
        </row>
        <row r="27">
          <cell r="A27">
            <v>26</v>
          </cell>
          <cell r="F27" t="str">
            <v>Chennai</v>
          </cell>
          <cell r="G27">
            <v>3</v>
          </cell>
          <cell r="H27" t="str">
            <v>ND</v>
          </cell>
          <cell r="O27">
            <v>0</v>
          </cell>
          <cell r="P27">
            <v>1</v>
          </cell>
          <cell r="Q27">
            <v>1</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1</v>
          </cell>
          <cell r="AH27">
            <v>0</v>
          </cell>
          <cell r="AI27">
            <v>0</v>
          </cell>
          <cell r="AJ27">
            <v>1</v>
          </cell>
          <cell r="AK27">
            <v>0</v>
          </cell>
          <cell r="AL27">
            <v>1</v>
          </cell>
          <cell r="AM27">
            <v>0</v>
          </cell>
          <cell r="AN27">
            <v>0</v>
          </cell>
          <cell r="AO27">
            <v>0</v>
          </cell>
          <cell r="AP27">
            <v>0</v>
          </cell>
          <cell r="AQ27">
            <v>0</v>
          </cell>
          <cell r="AR27">
            <v>0</v>
          </cell>
          <cell r="AS27">
            <v>0</v>
          </cell>
          <cell r="AT27">
            <v>0</v>
          </cell>
          <cell r="AU27">
            <v>0</v>
          </cell>
          <cell r="AV27">
            <v>0</v>
          </cell>
          <cell r="AW27">
            <v>0</v>
          </cell>
          <cell r="AX27">
            <v>0</v>
          </cell>
          <cell r="AY27">
            <v>0</v>
          </cell>
        </row>
        <row r="28">
          <cell r="A28">
            <v>27</v>
          </cell>
          <cell r="F28" t="str">
            <v>Chennai</v>
          </cell>
          <cell r="G28">
            <v>3</v>
          </cell>
          <cell r="H28">
            <v>7</v>
          </cell>
          <cell r="O28">
            <v>1</v>
          </cell>
          <cell r="P28">
            <v>1</v>
          </cell>
          <cell r="Q28">
            <v>0</v>
          </cell>
          <cell r="R28">
            <v>0</v>
          </cell>
          <cell r="S28">
            <v>0</v>
          </cell>
          <cell r="T28">
            <v>0</v>
          </cell>
          <cell r="U28">
            <v>0</v>
          </cell>
          <cell r="V28">
            <v>0</v>
          </cell>
          <cell r="W28">
            <v>0</v>
          </cell>
          <cell r="X28">
            <v>0</v>
          </cell>
          <cell r="Y28">
            <v>0</v>
          </cell>
          <cell r="Z28">
            <v>0</v>
          </cell>
          <cell r="AA28">
            <v>1</v>
          </cell>
          <cell r="AB28">
            <v>0</v>
          </cell>
          <cell r="AC28">
            <v>0</v>
          </cell>
          <cell r="AD28">
            <v>0</v>
          </cell>
          <cell r="AE28">
            <v>1</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row>
        <row r="29">
          <cell r="A29">
            <v>28</v>
          </cell>
          <cell r="F29" t="str">
            <v>Mumbai</v>
          </cell>
          <cell r="G29" t="str">
            <v>ND</v>
          </cell>
          <cell r="H29" t="str">
            <v>ND</v>
          </cell>
          <cell r="O29">
            <v>0</v>
          </cell>
          <cell r="P29">
            <v>1</v>
          </cell>
          <cell r="Q29">
            <v>0</v>
          </cell>
          <cell r="R29">
            <v>0</v>
          </cell>
          <cell r="S29">
            <v>0</v>
          </cell>
          <cell r="T29">
            <v>0</v>
          </cell>
          <cell r="U29">
            <v>1</v>
          </cell>
          <cell r="V29">
            <v>0</v>
          </cell>
          <cell r="W29">
            <v>0</v>
          </cell>
          <cell r="X29">
            <v>0</v>
          </cell>
          <cell r="Y29">
            <v>0</v>
          </cell>
          <cell r="Z29">
            <v>0</v>
          </cell>
          <cell r="AA29">
            <v>1</v>
          </cell>
          <cell r="AB29">
            <v>0</v>
          </cell>
          <cell r="AC29">
            <v>1</v>
          </cell>
          <cell r="AD29">
            <v>0</v>
          </cell>
          <cell r="AE29">
            <v>0</v>
          </cell>
          <cell r="AF29">
            <v>0</v>
          </cell>
          <cell r="AG29">
            <v>0</v>
          </cell>
          <cell r="AH29">
            <v>0</v>
          </cell>
          <cell r="AI29">
            <v>0</v>
          </cell>
          <cell r="AJ29">
            <v>0</v>
          </cell>
          <cell r="AK29">
            <v>0</v>
          </cell>
          <cell r="AL29">
            <v>1</v>
          </cell>
          <cell r="AM29">
            <v>0</v>
          </cell>
          <cell r="AN29">
            <v>0</v>
          </cell>
          <cell r="AO29">
            <v>0</v>
          </cell>
          <cell r="AP29">
            <v>0</v>
          </cell>
          <cell r="AQ29">
            <v>0</v>
          </cell>
          <cell r="AR29">
            <v>0</v>
          </cell>
          <cell r="AS29">
            <v>0</v>
          </cell>
          <cell r="AT29">
            <v>1</v>
          </cell>
          <cell r="AU29">
            <v>0</v>
          </cell>
          <cell r="AV29">
            <v>0</v>
          </cell>
          <cell r="AW29">
            <v>0</v>
          </cell>
          <cell r="AX29">
            <v>0</v>
          </cell>
          <cell r="AY29">
            <v>0</v>
          </cell>
        </row>
        <row r="30">
          <cell r="A30">
            <v>29</v>
          </cell>
          <cell r="F30" t="str">
            <v>Chennai</v>
          </cell>
          <cell r="G30" t="str">
            <v>ND</v>
          </cell>
          <cell r="H30" t="str">
            <v>ND</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1</v>
          </cell>
          <cell r="AK30">
            <v>0</v>
          </cell>
          <cell r="AL30">
            <v>1</v>
          </cell>
          <cell r="AM30">
            <v>0</v>
          </cell>
          <cell r="AN30">
            <v>0</v>
          </cell>
          <cell r="AO30">
            <v>0</v>
          </cell>
          <cell r="AP30">
            <v>0</v>
          </cell>
          <cell r="AQ30">
            <v>0</v>
          </cell>
          <cell r="AR30">
            <v>1</v>
          </cell>
          <cell r="AS30">
            <v>0</v>
          </cell>
          <cell r="AT30">
            <v>0</v>
          </cell>
          <cell r="AU30">
            <v>0</v>
          </cell>
          <cell r="AV30">
            <v>0</v>
          </cell>
          <cell r="AW30">
            <v>0</v>
          </cell>
          <cell r="AX30">
            <v>0</v>
          </cell>
          <cell r="AY30">
            <v>0</v>
          </cell>
        </row>
        <row r="31">
          <cell r="A31">
            <v>30</v>
          </cell>
          <cell r="F31" t="str">
            <v>Bengaluru</v>
          </cell>
          <cell r="G31">
            <v>3</v>
          </cell>
          <cell r="H31" t="str">
            <v>ND</v>
          </cell>
          <cell r="O31">
            <v>1</v>
          </cell>
          <cell r="P31">
            <v>1</v>
          </cell>
          <cell r="Q31">
            <v>0</v>
          </cell>
          <cell r="R31">
            <v>0</v>
          </cell>
          <cell r="S31">
            <v>0</v>
          </cell>
          <cell r="T31">
            <v>0</v>
          </cell>
          <cell r="U31">
            <v>0</v>
          </cell>
          <cell r="V31">
            <v>0</v>
          </cell>
          <cell r="W31">
            <v>0</v>
          </cell>
          <cell r="X31">
            <v>1</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1</v>
          </cell>
          <cell r="AQ31">
            <v>1</v>
          </cell>
          <cell r="AR31">
            <v>0</v>
          </cell>
          <cell r="AS31">
            <v>0</v>
          </cell>
          <cell r="AT31">
            <v>0</v>
          </cell>
          <cell r="AU31">
            <v>0</v>
          </cell>
          <cell r="AV31">
            <v>0</v>
          </cell>
          <cell r="AW31">
            <v>0</v>
          </cell>
          <cell r="AX31">
            <v>0</v>
          </cell>
          <cell r="AY31">
            <v>0</v>
          </cell>
        </row>
        <row r="32">
          <cell r="A32">
            <v>31</v>
          </cell>
          <cell r="F32" t="str">
            <v>Delhi</v>
          </cell>
          <cell r="G32">
            <v>1</v>
          </cell>
          <cell r="H32">
            <v>3</v>
          </cell>
          <cell r="O32">
            <v>1</v>
          </cell>
          <cell r="P32">
            <v>1</v>
          </cell>
          <cell r="Q32">
            <v>0</v>
          </cell>
          <cell r="R32">
            <v>0</v>
          </cell>
          <cell r="S32">
            <v>0</v>
          </cell>
          <cell r="T32">
            <v>0</v>
          </cell>
          <cell r="U32">
            <v>0</v>
          </cell>
          <cell r="V32">
            <v>0</v>
          </cell>
          <cell r="W32">
            <v>0</v>
          </cell>
          <cell r="X32">
            <v>0</v>
          </cell>
          <cell r="Y32">
            <v>0</v>
          </cell>
          <cell r="Z32">
            <v>0</v>
          </cell>
          <cell r="AA32">
            <v>0</v>
          </cell>
          <cell r="AB32">
            <v>0</v>
          </cell>
          <cell r="AC32">
            <v>1</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row>
        <row r="33">
          <cell r="A33">
            <v>32</v>
          </cell>
          <cell r="F33" t="str">
            <v>Bengaluru</v>
          </cell>
          <cell r="G33">
            <v>7</v>
          </cell>
          <cell r="H33">
            <v>12</v>
          </cell>
          <cell r="O33">
            <v>1</v>
          </cell>
          <cell r="P33">
            <v>1</v>
          </cell>
          <cell r="Q33">
            <v>0</v>
          </cell>
          <cell r="R33">
            <v>0</v>
          </cell>
          <cell r="S33">
            <v>0</v>
          </cell>
          <cell r="T33">
            <v>0</v>
          </cell>
          <cell r="U33">
            <v>1</v>
          </cell>
          <cell r="V33">
            <v>0</v>
          </cell>
          <cell r="W33">
            <v>0</v>
          </cell>
          <cell r="X33">
            <v>1</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1</v>
          </cell>
          <cell r="AP33">
            <v>0</v>
          </cell>
          <cell r="AQ33">
            <v>0</v>
          </cell>
          <cell r="AR33">
            <v>0</v>
          </cell>
          <cell r="AS33">
            <v>1</v>
          </cell>
          <cell r="AT33">
            <v>0</v>
          </cell>
          <cell r="AU33">
            <v>0</v>
          </cell>
          <cell r="AV33">
            <v>0</v>
          </cell>
          <cell r="AW33">
            <v>0</v>
          </cell>
          <cell r="AX33">
            <v>0</v>
          </cell>
          <cell r="AY33">
            <v>0</v>
          </cell>
        </row>
        <row r="34">
          <cell r="A34">
            <v>33</v>
          </cell>
          <cell r="F34" t="str">
            <v>Gurgaon</v>
          </cell>
          <cell r="G34" t="str">
            <v>ND</v>
          </cell>
          <cell r="H34" t="str">
            <v>ND</v>
          </cell>
          <cell r="O34">
            <v>1</v>
          </cell>
          <cell r="P34">
            <v>1</v>
          </cell>
          <cell r="Q34">
            <v>0</v>
          </cell>
          <cell r="R34">
            <v>0</v>
          </cell>
          <cell r="S34">
            <v>0</v>
          </cell>
          <cell r="T34">
            <v>0</v>
          </cell>
          <cell r="U34">
            <v>0</v>
          </cell>
          <cell r="V34">
            <v>0</v>
          </cell>
          <cell r="W34">
            <v>0</v>
          </cell>
          <cell r="X34">
            <v>0</v>
          </cell>
          <cell r="Y34">
            <v>0</v>
          </cell>
          <cell r="Z34">
            <v>0</v>
          </cell>
          <cell r="AA34">
            <v>1</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row>
        <row r="35">
          <cell r="A35">
            <v>34</v>
          </cell>
          <cell r="F35" t="str">
            <v>Bengaluru</v>
          </cell>
          <cell r="G35">
            <v>4</v>
          </cell>
          <cell r="H35">
            <v>6</v>
          </cell>
          <cell r="O35">
            <v>1</v>
          </cell>
          <cell r="P35">
            <v>1</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row>
        <row r="36">
          <cell r="A36">
            <v>35</v>
          </cell>
          <cell r="F36" t="str">
            <v>Bengaluru</v>
          </cell>
          <cell r="G36">
            <v>2</v>
          </cell>
          <cell r="H36">
            <v>5</v>
          </cell>
          <cell r="O36">
            <v>1</v>
          </cell>
          <cell r="P36">
            <v>1</v>
          </cell>
          <cell r="Q36">
            <v>0</v>
          </cell>
          <cell r="R36">
            <v>0</v>
          </cell>
          <cell r="S36">
            <v>0</v>
          </cell>
          <cell r="T36">
            <v>0</v>
          </cell>
          <cell r="U36">
            <v>1</v>
          </cell>
          <cell r="V36">
            <v>0</v>
          </cell>
          <cell r="W36">
            <v>0</v>
          </cell>
          <cell r="X36">
            <v>0</v>
          </cell>
          <cell r="Y36">
            <v>0</v>
          </cell>
          <cell r="Z36">
            <v>0</v>
          </cell>
          <cell r="AA36">
            <v>1</v>
          </cell>
          <cell r="AB36">
            <v>0</v>
          </cell>
          <cell r="AC36">
            <v>0</v>
          </cell>
          <cell r="AD36">
            <v>0</v>
          </cell>
          <cell r="AE36">
            <v>1</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row>
        <row r="37">
          <cell r="A37">
            <v>36</v>
          </cell>
          <cell r="F37" t="str">
            <v>Bengaluru</v>
          </cell>
          <cell r="G37">
            <v>2</v>
          </cell>
          <cell r="H37">
            <v>5</v>
          </cell>
          <cell r="O37">
            <v>0</v>
          </cell>
          <cell r="P37">
            <v>1</v>
          </cell>
          <cell r="Q37">
            <v>0</v>
          </cell>
          <cell r="R37">
            <v>0</v>
          </cell>
          <cell r="S37">
            <v>0</v>
          </cell>
          <cell r="T37">
            <v>0</v>
          </cell>
          <cell r="U37">
            <v>0</v>
          </cell>
          <cell r="V37">
            <v>1</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1</v>
          </cell>
          <cell r="AO37">
            <v>1</v>
          </cell>
          <cell r="AP37">
            <v>0</v>
          </cell>
          <cell r="AQ37">
            <v>0</v>
          </cell>
          <cell r="AR37">
            <v>0</v>
          </cell>
          <cell r="AS37">
            <v>0</v>
          </cell>
          <cell r="AT37">
            <v>0</v>
          </cell>
          <cell r="AU37">
            <v>0</v>
          </cell>
          <cell r="AV37">
            <v>0</v>
          </cell>
          <cell r="AW37">
            <v>0</v>
          </cell>
          <cell r="AX37">
            <v>0</v>
          </cell>
          <cell r="AY37">
            <v>0</v>
          </cell>
        </row>
        <row r="38">
          <cell r="A38">
            <v>37</v>
          </cell>
          <cell r="F38" t="str">
            <v>Bengaluru</v>
          </cell>
          <cell r="G38">
            <v>3</v>
          </cell>
          <cell r="H38">
            <v>6</v>
          </cell>
          <cell r="O38">
            <v>1</v>
          </cell>
          <cell r="P38">
            <v>1</v>
          </cell>
          <cell r="Q38">
            <v>0</v>
          </cell>
          <cell r="R38">
            <v>0</v>
          </cell>
          <cell r="S38">
            <v>1</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row>
        <row r="39">
          <cell r="A39">
            <v>38</v>
          </cell>
          <cell r="F39" t="str">
            <v>Mumbai</v>
          </cell>
          <cell r="G39">
            <v>2</v>
          </cell>
          <cell r="H39">
            <v>3</v>
          </cell>
          <cell r="O39">
            <v>1</v>
          </cell>
          <cell r="P39">
            <v>0</v>
          </cell>
          <cell r="Q39">
            <v>0</v>
          </cell>
          <cell r="R39">
            <v>0</v>
          </cell>
          <cell r="S39">
            <v>1</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row>
        <row r="40">
          <cell r="A40">
            <v>39</v>
          </cell>
          <cell r="F40" t="str">
            <v>Bengaluru</v>
          </cell>
          <cell r="G40">
            <v>2</v>
          </cell>
          <cell r="H40">
            <v>5</v>
          </cell>
          <cell r="O40">
            <v>1</v>
          </cell>
          <cell r="P40">
            <v>0</v>
          </cell>
          <cell r="Q40">
            <v>0</v>
          </cell>
          <cell r="R40">
            <v>0</v>
          </cell>
          <cell r="S40">
            <v>1</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1</v>
          </cell>
          <cell r="AN40">
            <v>0</v>
          </cell>
          <cell r="AO40">
            <v>0</v>
          </cell>
          <cell r="AP40">
            <v>0</v>
          </cell>
          <cell r="AQ40">
            <v>0</v>
          </cell>
          <cell r="AR40">
            <v>0</v>
          </cell>
          <cell r="AS40">
            <v>0</v>
          </cell>
          <cell r="AT40">
            <v>0</v>
          </cell>
          <cell r="AU40">
            <v>0</v>
          </cell>
          <cell r="AV40">
            <v>0</v>
          </cell>
          <cell r="AW40">
            <v>0</v>
          </cell>
          <cell r="AX40">
            <v>0</v>
          </cell>
          <cell r="AY40">
            <v>0</v>
          </cell>
        </row>
        <row r="41">
          <cell r="A41">
            <v>40</v>
          </cell>
          <cell r="F41" t="str">
            <v>Bengaluru</v>
          </cell>
          <cell r="G41">
            <v>2</v>
          </cell>
          <cell r="H41">
            <v>4</v>
          </cell>
          <cell r="O41">
            <v>1</v>
          </cell>
          <cell r="P41">
            <v>0</v>
          </cell>
          <cell r="Q41">
            <v>0</v>
          </cell>
          <cell r="R41">
            <v>0</v>
          </cell>
          <cell r="S41">
            <v>1</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row>
        <row r="42">
          <cell r="A42">
            <v>41</v>
          </cell>
          <cell r="F42" t="str">
            <v>Bengaluru</v>
          </cell>
          <cell r="G42">
            <v>2</v>
          </cell>
          <cell r="H42" t="str">
            <v>ND</v>
          </cell>
          <cell r="O42">
            <v>1</v>
          </cell>
          <cell r="P42">
            <v>1</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row>
        <row r="43">
          <cell r="A43">
            <v>42</v>
          </cell>
          <cell r="F43" t="str">
            <v>Pune</v>
          </cell>
          <cell r="G43">
            <v>3</v>
          </cell>
          <cell r="H43" t="str">
            <v>ND</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row>
        <row r="44">
          <cell r="A44">
            <v>43</v>
          </cell>
          <cell r="F44" t="str">
            <v>Bengaluru</v>
          </cell>
          <cell r="G44" t="str">
            <v>ND</v>
          </cell>
          <cell r="H44" t="str">
            <v>ND</v>
          </cell>
          <cell r="O44">
            <v>1</v>
          </cell>
          <cell r="P44">
            <v>0</v>
          </cell>
          <cell r="Q44">
            <v>0</v>
          </cell>
          <cell r="R44">
            <v>0</v>
          </cell>
          <cell r="S44">
            <v>1</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1</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row>
        <row r="45">
          <cell r="A45">
            <v>44</v>
          </cell>
          <cell r="F45" t="str">
            <v>Bengaluru</v>
          </cell>
          <cell r="G45">
            <v>3</v>
          </cell>
          <cell r="H45">
            <v>4</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1</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row>
        <row r="46">
          <cell r="A46">
            <v>45</v>
          </cell>
          <cell r="F46" t="str">
            <v>Bengaluru</v>
          </cell>
          <cell r="G46">
            <v>1</v>
          </cell>
          <cell r="H46">
            <v>3</v>
          </cell>
          <cell r="O46">
            <v>0</v>
          </cell>
          <cell r="P46">
            <v>0</v>
          </cell>
          <cell r="Q46">
            <v>0</v>
          </cell>
          <cell r="R46">
            <v>0</v>
          </cell>
          <cell r="S46">
            <v>1</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row>
        <row r="47">
          <cell r="A47">
            <v>46</v>
          </cell>
          <cell r="F47" t="str">
            <v>Bengaluru</v>
          </cell>
          <cell r="G47" t="str">
            <v>ND</v>
          </cell>
          <cell r="H47" t="str">
            <v>ND</v>
          </cell>
          <cell r="O47">
            <v>1</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1</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row>
        <row r="48">
          <cell r="A48">
            <v>47</v>
          </cell>
          <cell r="F48" t="str">
            <v>Hyderabad</v>
          </cell>
          <cell r="G48">
            <v>1</v>
          </cell>
          <cell r="H48">
            <v>5</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row>
        <row r="49">
          <cell r="A49">
            <v>48</v>
          </cell>
          <cell r="F49" t="str">
            <v>Chennai</v>
          </cell>
          <cell r="G49">
            <v>3</v>
          </cell>
          <cell r="H49">
            <v>5</v>
          </cell>
          <cell r="O49">
            <v>1</v>
          </cell>
          <cell r="P49">
            <v>0</v>
          </cell>
          <cell r="Q49">
            <v>0</v>
          </cell>
          <cell r="R49">
            <v>0</v>
          </cell>
          <cell r="S49">
            <v>1</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row>
        <row r="50">
          <cell r="A50">
            <v>49</v>
          </cell>
          <cell r="F50" t="str">
            <v>Bengaluru</v>
          </cell>
          <cell r="G50">
            <v>2</v>
          </cell>
          <cell r="H50">
            <v>5</v>
          </cell>
          <cell r="O50">
            <v>0</v>
          </cell>
          <cell r="P50">
            <v>0</v>
          </cell>
          <cell r="Q50">
            <v>1</v>
          </cell>
          <cell r="R50">
            <v>1</v>
          </cell>
          <cell r="S50">
            <v>1</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row>
        <row r="51">
          <cell r="A51">
            <v>50</v>
          </cell>
          <cell r="F51" t="str">
            <v>Bengaluru</v>
          </cell>
          <cell r="G51">
            <v>1</v>
          </cell>
          <cell r="H51">
            <v>5</v>
          </cell>
          <cell r="O51">
            <v>1</v>
          </cell>
          <cell r="P51">
            <v>1</v>
          </cell>
          <cell r="Q51">
            <v>0</v>
          </cell>
          <cell r="R51">
            <v>0</v>
          </cell>
          <cell r="S51">
            <v>0</v>
          </cell>
          <cell r="T51">
            <v>0</v>
          </cell>
          <cell r="U51">
            <v>0</v>
          </cell>
          <cell r="V51">
            <v>0</v>
          </cell>
          <cell r="W51">
            <v>0</v>
          </cell>
          <cell r="X51">
            <v>0</v>
          </cell>
          <cell r="Y51">
            <v>0</v>
          </cell>
          <cell r="Z51">
            <v>0</v>
          </cell>
          <cell r="AA51">
            <v>0</v>
          </cell>
          <cell r="AB51">
            <v>0</v>
          </cell>
          <cell r="AC51">
            <v>1</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row>
        <row r="52">
          <cell r="A52">
            <v>51</v>
          </cell>
          <cell r="F52" t="str">
            <v>Bengaluru</v>
          </cell>
          <cell r="G52" t="str">
            <v>ND</v>
          </cell>
          <cell r="H52" t="str">
            <v>ND</v>
          </cell>
          <cell r="O52">
            <v>1</v>
          </cell>
          <cell r="P52">
            <v>0</v>
          </cell>
          <cell r="Q52">
            <v>1</v>
          </cell>
          <cell r="R52">
            <v>0</v>
          </cell>
          <cell r="S52">
            <v>1</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row>
        <row r="53">
          <cell r="A53">
            <v>52</v>
          </cell>
          <cell r="F53" t="str">
            <v>Bengaluru</v>
          </cell>
          <cell r="G53">
            <v>1</v>
          </cell>
          <cell r="H53">
            <v>3</v>
          </cell>
          <cell r="O53">
            <v>0</v>
          </cell>
          <cell r="P53">
            <v>1</v>
          </cell>
          <cell r="Q53">
            <v>0</v>
          </cell>
          <cell r="R53">
            <v>0</v>
          </cell>
          <cell r="S53">
            <v>1</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1</v>
          </cell>
          <cell r="AY53">
            <v>1</v>
          </cell>
        </row>
        <row r="54">
          <cell r="A54">
            <v>53</v>
          </cell>
          <cell r="F54" t="str">
            <v>Delhi</v>
          </cell>
          <cell r="G54">
            <v>3</v>
          </cell>
          <cell r="H54">
            <v>6</v>
          </cell>
          <cell r="O54">
            <v>0</v>
          </cell>
          <cell r="P54">
            <v>0</v>
          </cell>
          <cell r="Q54">
            <v>0</v>
          </cell>
          <cell r="R54">
            <v>0</v>
          </cell>
          <cell r="S54">
            <v>1</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1</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row>
        <row r="55">
          <cell r="A55">
            <v>54</v>
          </cell>
          <cell r="F55" t="str">
            <v>Pune</v>
          </cell>
          <cell r="G55" t="str">
            <v>ND</v>
          </cell>
          <cell r="H55" t="str">
            <v>ND</v>
          </cell>
          <cell r="O55">
            <v>0</v>
          </cell>
          <cell r="P55">
            <v>0</v>
          </cell>
          <cell r="Q55">
            <v>0</v>
          </cell>
          <cell r="R55">
            <v>0</v>
          </cell>
          <cell r="S55">
            <v>1</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1</v>
          </cell>
          <cell r="AL55">
            <v>0</v>
          </cell>
          <cell r="AM55">
            <v>0</v>
          </cell>
          <cell r="AN55">
            <v>1</v>
          </cell>
          <cell r="AO55">
            <v>0</v>
          </cell>
          <cell r="AP55">
            <v>0</v>
          </cell>
          <cell r="AQ55">
            <v>0</v>
          </cell>
          <cell r="AR55">
            <v>0</v>
          </cell>
          <cell r="AS55">
            <v>0</v>
          </cell>
          <cell r="AT55">
            <v>0</v>
          </cell>
          <cell r="AU55">
            <v>0</v>
          </cell>
          <cell r="AV55">
            <v>0</v>
          </cell>
          <cell r="AW55">
            <v>0</v>
          </cell>
          <cell r="AX55">
            <v>0</v>
          </cell>
          <cell r="AY55">
            <v>0</v>
          </cell>
        </row>
        <row r="56">
          <cell r="A56">
            <v>55</v>
          </cell>
          <cell r="F56" t="str">
            <v>Bengaluru</v>
          </cell>
          <cell r="G56">
            <v>1</v>
          </cell>
          <cell r="H56">
            <v>2</v>
          </cell>
          <cell r="O56">
            <v>1</v>
          </cell>
          <cell r="P56">
            <v>0</v>
          </cell>
          <cell r="Q56">
            <v>0</v>
          </cell>
          <cell r="R56">
            <v>1</v>
          </cell>
          <cell r="S56">
            <v>1</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1</v>
          </cell>
          <cell r="AT56">
            <v>0</v>
          </cell>
          <cell r="AU56">
            <v>1</v>
          </cell>
          <cell r="AV56">
            <v>0</v>
          </cell>
          <cell r="AW56">
            <v>0</v>
          </cell>
          <cell r="AX56">
            <v>0</v>
          </cell>
          <cell r="AY56">
            <v>0</v>
          </cell>
        </row>
        <row r="57">
          <cell r="A57">
            <v>56</v>
          </cell>
          <cell r="F57" t="str">
            <v>Gurgaon</v>
          </cell>
          <cell r="G57" t="str">
            <v>ND</v>
          </cell>
          <cell r="H57" t="str">
            <v>ND</v>
          </cell>
          <cell r="O57">
            <v>1</v>
          </cell>
          <cell r="P57">
            <v>0</v>
          </cell>
          <cell r="Q57">
            <v>0</v>
          </cell>
          <cell r="R57">
            <v>0</v>
          </cell>
          <cell r="S57">
            <v>1</v>
          </cell>
          <cell r="T57">
            <v>0</v>
          </cell>
          <cell r="U57">
            <v>0</v>
          </cell>
          <cell r="V57">
            <v>0</v>
          </cell>
          <cell r="W57">
            <v>0</v>
          </cell>
          <cell r="X57">
            <v>0</v>
          </cell>
          <cell r="Y57">
            <v>0</v>
          </cell>
          <cell r="Z57">
            <v>0</v>
          </cell>
          <cell r="AA57">
            <v>0</v>
          </cell>
          <cell r="AB57">
            <v>0</v>
          </cell>
          <cell r="AC57">
            <v>1</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row>
        <row r="58">
          <cell r="A58">
            <v>57</v>
          </cell>
          <cell r="F58" t="str">
            <v>Hyderabad</v>
          </cell>
          <cell r="G58">
            <v>3</v>
          </cell>
          <cell r="H58" t="str">
            <v>ND</v>
          </cell>
          <cell r="O58">
            <v>1</v>
          </cell>
          <cell r="P58">
            <v>1</v>
          </cell>
          <cell r="Q58">
            <v>1</v>
          </cell>
          <cell r="R58">
            <v>0</v>
          </cell>
          <cell r="S58">
            <v>0</v>
          </cell>
          <cell r="T58">
            <v>0</v>
          </cell>
          <cell r="U58">
            <v>0</v>
          </cell>
          <cell r="V58">
            <v>0</v>
          </cell>
          <cell r="W58">
            <v>0</v>
          </cell>
          <cell r="X58">
            <v>0</v>
          </cell>
          <cell r="Y58">
            <v>0</v>
          </cell>
          <cell r="Z58">
            <v>0</v>
          </cell>
          <cell r="AA58">
            <v>0</v>
          </cell>
          <cell r="AB58">
            <v>0</v>
          </cell>
          <cell r="AC58">
            <v>1</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row>
        <row r="59">
          <cell r="A59">
            <v>58</v>
          </cell>
          <cell r="F59" t="str">
            <v>Bengaluru</v>
          </cell>
          <cell r="G59">
            <v>2</v>
          </cell>
          <cell r="H59">
            <v>6</v>
          </cell>
          <cell r="O59">
            <v>1</v>
          </cell>
          <cell r="P59">
            <v>0</v>
          </cell>
          <cell r="Q59">
            <v>1</v>
          </cell>
          <cell r="R59">
            <v>0</v>
          </cell>
          <cell r="S59">
            <v>1</v>
          </cell>
          <cell r="T59">
            <v>0</v>
          </cell>
          <cell r="U59">
            <v>0</v>
          </cell>
          <cell r="V59">
            <v>0</v>
          </cell>
          <cell r="W59">
            <v>0</v>
          </cell>
          <cell r="X59">
            <v>1</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row>
        <row r="60">
          <cell r="A60">
            <v>59</v>
          </cell>
          <cell r="F60" t="str">
            <v>Bengaluru</v>
          </cell>
          <cell r="G60">
            <v>1</v>
          </cell>
          <cell r="H60">
            <v>2</v>
          </cell>
          <cell r="O60">
            <v>0</v>
          </cell>
          <cell r="P60">
            <v>0</v>
          </cell>
          <cell r="Q60">
            <v>0</v>
          </cell>
          <cell r="R60">
            <v>0</v>
          </cell>
          <cell r="S60">
            <v>1</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1</v>
          </cell>
          <cell r="AU60">
            <v>0</v>
          </cell>
          <cell r="AV60">
            <v>0</v>
          </cell>
          <cell r="AW60">
            <v>0</v>
          </cell>
          <cell r="AX60">
            <v>0</v>
          </cell>
          <cell r="AY60">
            <v>0</v>
          </cell>
        </row>
        <row r="61">
          <cell r="A61">
            <v>60</v>
          </cell>
          <cell r="F61" t="str">
            <v>Bengaluru</v>
          </cell>
          <cell r="G61">
            <v>2</v>
          </cell>
          <cell r="H61">
            <v>4</v>
          </cell>
          <cell r="O61">
            <v>1</v>
          </cell>
          <cell r="P61">
            <v>0</v>
          </cell>
          <cell r="Q61">
            <v>1</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row>
        <row r="62">
          <cell r="A62">
            <v>61</v>
          </cell>
          <cell r="F62" t="str">
            <v>Bengaluru</v>
          </cell>
          <cell r="G62">
            <v>2</v>
          </cell>
          <cell r="H62">
            <v>4</v>
          </cell>
          <cell r="O62">
            <v>1</v>
          </cell>
          <cell r="P62">
            <v>0</v>
          </cell>
          <cell r="Q62">
            <v>1</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row>
        <row r="63">
          <cell r="A63">
            <v>62</v>
          </cell>
          <cell r="F63" t="str">
            <v>Bengaluru</v>
          </cell>
          <cell r="G63" t="str">
            <v>ND</v>
          </cell>
          <cell r="H63" t="str">
            <v>ND</v>
          </cell>
          <cell r="O63">
            <v>0</v>
          </cell>
          <cell r="P63">
            <v>0</v>
          </cell>
          <cell r="Q63">
            <v>1</v>
          </cell>
          <cell r="R63">
            <v>0</v>
          </cell>
          <cell r="S63">
            <v>0</v>
          </cell>
          <cell r="T63">
            <v>0</v>
          </cell>
          <cell r="U63">
            <v>0</v>
          </cell>
          <cell r="V63">
            <v>0</v>
          </cell>
          <cell r="W63">
            <v>0</v>
          </cell>
          <cell r="X63">
            <v>0</v>
          </cell>
          <cell r="Y63">
            <v>0</v>
          </cell>
          <cell r="Z63">
            <v>0</v>
          </cell>
          <cell r="AA63">
            <v>0</v>
          </cell>
          <cell r="AB63">
            <v>0</v>
          </cell>
          <cell r="AC63">
            <v>1</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1</v>
          </cell>
          <cell r="AS63">
            <v>0</v>
          </cell>
          <cell r="AT63">
            <v>0</v>
          </cell>
          <cell r="AU63">
            <v>0</v>
          </cell>
          <cell r="AV63">
            <v>0</v>
          </cell>
          <cell r="AW63">
            <v>0</v>
          </cell>
          <cell r="AX63">
            <v>0</v>
          </cell>
          <cell r="AY63">
            <v>0</v>
          </cell>
        </row>
        <row r="64">
          <cell r="A64">
            <v>63</v>
          </cell>
          <cell r="F64" t="str">
            <v>Bengaluru</v>
          </cell>
          <cell r="G64">
            <v>1</v>
          </cell>
          <cell r="H64">
            <v>5</v>
          </cell>
          <cell r="O64">
            <v>1</v>
          </cell>
          <cell r="P64">
            <v>0</v>
          </cell>
          <cell r="Q64">
            <v>1</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1</v>
          </cell>
          <cell r="AI64">
            <v>0</v>
          </cell>
          <cell r="AJ64">
            <v>0</v>
          </cell>
          <cell r="AK64">
            <v>0</v>
          </cell>
          <cell r="AL64">
            <v>0</v>
          </cell>
          <cell r="AM64">
            <v>1</v>
          </cell>
          <cell r="AN64">
            <v>0</v>
          </cell>
          <cell r="AO64">
            <v>0</v>
          </cell>
          <cell r="AP64">
            <v>0</v>
          </cell>
          <cell r="AQ64">
            <v>1</v>
          </cell>
          <cell r="AR64">
            <v>0</v>
          </cell>
          <cell r="AS64">
            <v>0</v>
          </cell>
          <cell r="AT64">
            <v>0</v>
          </cell>
          <cell r="AU64">
            <v>0</v>
          </cell>
          <cell r="AV64">
            <v>0</v>
          </cell>
          <cell r="AW64">
            <v>0</v>
          </cell>
          <cell r="AX64">
            <v>0</v>
          </cell>
          <cell r="AY64">
            <v>0</v>
          </cell>
        </row>
        <row r="65">
          <cell r="A65">
            <v>64</v>
          </cell>
          <cell r="F65" t="str">
            <v>Bengaluru</v>
          </cell>
          <cell r="G65">
            <v>6</v>
          </cell>
          <cell r="H65" t="str">
            <v>ND</v>
          </cell>
          <cell r="O65">
            <v>1</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v>
          </cell>
          <cell r="AF65">
            <v>0</v>
          </cell>
          <cell r="AG65">
            <v>1</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1</v>
          </cell>
          <cell r="AX65">
            <v>0</v>
          </cell>
          <cell r="AY65">
            <v>0</v>
          </cell>
        </row>
        <row r="66">
          <cell r="A66">
            <v>65</v>
          </cell>
          <cell r="F66" t="str">
            <v>Hyderabad</v>
          </cell>
          <cell r="G66" t="str">
            <v>ND</v>
          </cell>
          <cell r="H66" t="str">
            <v>ND</v>
          </cell>
          <cell r="O66">
            <v>1</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row>
        <row r="67">
          <cell r="A67">
            <v>66</v>
          </cell>
          <cell r="F67" t="str">
            <v>Bengaluru</v>
          </cell>
          <cell r="G67">
            <v>3</v>
          </cell>
          <cell r="H67">
            <v>5</v>
          </cell>
          <cell r="O67">
            <v>1</v>
          </cell>
          <cell r="P67">
            <v>0</v>
          </cell>
          <cell r="Q67">
            <v>1</v>
          </cell>
          <cell r="R67">
            <v>0</v>
          </cell>
          <cell r="S67">
            <v>0</v>
          </cell>
          <cell r="T67">
            <v>0</v>
          </cell>
          <cell r="U67">
            <v>0</v>
          </cell>
          <cell r="V67">
            <v>0</v>
          </cell>
          <cell r="W67">
            <v>0</v>
          </cell>
          <cell r="X67">
            <v>1</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row>
        <row r="68">
          <cell r="A68">
            <v>67</v>
          </cell>
          <cell r="F68" t="str">
            <v>Gurgaon</v>
          </cell>
          <cell r="G68">
            <v>1</v>
          </cell>
          <cell r="H68">
            <v>5</v>
          </cell>
          <cell r="O68">
            <v>1</v>
          </cell>
          <cell r="P68">
            <v>0</v>
          </cell>
          <cell r="Q68">
            <v>1</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1</v>
          </cell>
          <cell r="AV68">
            <v>0</v>
          </cell>
          <cell r="AW68">
            <v>0</v>
          </cell>
          <cell r="AX68">
            <v>0</v>
          </cell>
          <cell r="AY68">
            <v>0</v>
          </cell>
        </row>
        <row r="69">
          <cell r="A69">
            <v>68</v>
          </cell>
          <cell r="F69" t="str">
            <v>Bengaluru</v>
          </cell>
          <cell r="G69">
            <v>3</v>
          </cell>
          <cell r="H69">
            <v>5</v>
          </cell>
          <cell r="O69">
            <v>1</v>
          </cell>
          <cell r="P69">
            <v>0</v>
          </cell>
          <cell r="Q69">
            <v>0</v>
          </cell>
          <cell r="R69">
            <v>1</v>
          </cell>
          <cell r="S69">
            <v>0</v>
          </cell>
          <cell r="T69">
            <v>0</v>
          </cell>
          <cell r="U69">
            <v>0</v>
          </cell>
          <cell r="V69">
            <v>0</v>
          </cell>
          <cell r="W69">
            <v>0</v>
          </cell>
          <cell r="X69">
            <v>0</v>
          </cell>
          <cell r="Y69">
            <v>0</v>
          </cell>
          <cell r="Z69">
            <v>0</v>
          </cell>
          <cell r="AA69">
            <v>0</v>
          </cell>
          <cell r="AB69">
            <v>0</v>
          </cell>
          <cell r="AC69">
            <v>1</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1</v>
          </cell>
          <cell r="AS69">
            <v>0</v>
          </cell>
          <cell r="AT69">
            <v>0</v>
          </cell>
          <cell r="AU69">
            <v>0</v>
          </cell>
          <cell r="AV69">
            <v>0</v>
          </cell>
          <cell r="AW69">
            <v>1</v>
          </cell>
          <cell r="AX69">
            <v>0</v>
          </cell>
          <cell r="AY69">
            <v>0</v>
          </cell>
        </row>
        <row r="70">
          <cell r="A70">
            <v>69</v>
          </cell>
          <cell r="F70" t="str">
            <v>Bengaluru</v>
          </cell>
          <cell r="G70">
            <v>3</v>
          </cell>
          <cell r="H70" t="str">
            <v>ND</v>
          </cell>
          <cell r="O70">
            <v>1</v>
          </cell>
          <cell r="P70">
            <v>0</v>
          </cell>
          <cell r="Q70">
            <v>1</v>
          </cell>
          <cell r="R70">
            <v>0</v>
          </cell>
          <cell r="S70">
            <v>0</v>
          </cell>
          <cell r="T70">
            <v>0</v>
          </cell>
          <cell r="U70">
            <v>0</v>
          </cell>
          <cell r="V70">
            <v>0</v>
          </cell>
          <cell r="W70">
            <v>0</v>
          </cell>
          <cell r="X70">
            <v>0</v>
          </cell>
          <cell r="Y70">
            <v>0</v>
          </cell>
          <cell r="Z70">
            <v>0</v>
          </cell>
          <cell r="AA70">
            <v>0</v>
          </cell>
          <cell r="AB70">
            <v>0</v>
          </cell>
          <cell r="AC70">
            <v>1</v>
          </cell>
          <cell r="AD70">
            <v>0</v>
          </cell>
          <cell r="AE70">
            <v>0</v>
          </cell>
          <cell r="AF70">
            <v>0</v>
          </cell>
          <cell r="AG70">
            <v>0</v>
          </cell>
          <cell r="AH70">
            <v>0</v>
          </cell>
          <cell r="AI70">
            <v>0</v>
          </cell>
          <cell r="AJ70">
            <v>0</v>
          </cell>
          <cell r="AK70">
            <v>0</v>
          </cell>
          <cell r="AL70">
            <v>0</v>
          </cell>
          <cell r="AM70">
            <v>1</v>
          </cell>
          <cell r="AN70">
            <v>0</v>
          </cell>
          <cell r="AO70">
            <v>0</v>
          </cell>
          <cell r="AP70">
            <v>0</v>
          </cell>
          <cell r="AQ70">
            <v>1</v>
          </cell>
          <cell r="AR70">
            <v>0</v>
          </cell>
          <cell r="AS70">
            <v>0</v>
          </cell>
          <cell r="AT70">
            <v>0</v>
          </cell>
          <cell r="AU70">
            <v>0</v>
          </cell>
          <cell r="AV70">
            <v>0</v>
          </cell>
          <cell r="AW70">
            <v>0</v>
          </cell>
          <cell r="AX70">
            <v>0</v>
          </cell>
          <cell r="AY70">
            <v>0</v>
          </cell>
        </row>
        <row r="71">
          <cell r="A71">
            <v>70</v>
          </cell>
          <cell r="F71" t="str">
            <v>Bengaluru</v>
          </cell>
          <cell r="G71">
            <v>3</v>
          </cell>
          <cell r="H71" t="str">
            <v>ND</v>
          </cell>
          <cell r="O71">
            <v>1</v>
          </cell>
          <cell r="P71">
            <v>0</v>
          </cell>
          <cell r="Q71">
            <v>1</v>
          </cell>
          <cell r="R71">
            <v>0</v>
          </cell>
          <cell r="S71">
            <v>0</v>
          </cell>
          <cell r="T71">
            <v>0</v>
          </cell>
          <cell r="U71">
            <v>0</v>
          </cell>
          <cell r="V71">
            <v>0</v>
          </cell>
          <cell r="W71">
            <v>0</v>
          </cell>
          <cell r="X71">
            <v>0</v>
          </cell>
          <cell r="Y71">
            <v>0</v>
          </cell>
          <cell r="Z71">
            <v>0</v>
          </cell>
          <cell r="AA71">
            <v>0</v>
          </cell>
          <cell r="AB71">
            <v>0</v>
          </cell>
          <cell r="AC71">
            <v>1</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row>
        <row r="72">
          <cell r="A72">
            <v>71</v>
          </cell>
          <cell r="F72" t="str">
            <v>Pune</v>
          </cell>
          <cell r="G72">
            <v>0</v>
          </cell>
          <cell r="H72">
            <v>3</v>
          </cell>
          <cell r="O72">
            <v>1</v>
          </cell>
          <cell r="P72">
            <v>0</v>
          </cell>
          <cell r="Q72">
            <v>1</v>
          </cell>
          <cell r="R72">
            <v>1</v>
          </cell>
          <cell r="S72">
            <v>1</v>
          </cell>
          <cell r="T72">
            <v>1</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1</v>
          </cell>
          <cell r="AN72">
            <v>0</v>
          </cell>
          <cell r="AO72">
            <v>0</v>
          </cell>
          <cell r="AP72">
            <v>0</v>
          </cell>
          <cell r="AQ72">
            <v>0</v>
          </cell>
          <cell r="AR72">
            <v>0</v>
          </cell>
          <cell r="AS72">
            <v>0</v>
          </cell>
          <cell r="AT72">
            <v>0</v>
          </cell>
          <cell r="AU72">
            <v>0</v>
          </cell>
          <cell r="AV72">
            <v>0</v>
          </cell>
          <cell r="AW72">
            <v>0</v>
          </cell>
          <cell r="AX72">
            <v>0</v>
          </cell>
          <cell r="AY72">
            <v>0</v>
          </cell>
        </row>
        <row r="73">
          <cell r="A73">
            <v>72</v>
          </cell>
          <cell r="F73" t="str">
            <v>Pune</v>
          </cell>
          <cell r="G73">
            <v>0</v>
          </cell>
          <cell r="H73">
            <v>2</v>
          </cell>
          <cell r="O73">
            <v>1</v>
          </cell>
          <cell r="P73">
            <v>1</v>
          </cell>
          <cell r="Q73">
            <v>1</v>
          </cell>
          <cell r="R73">
            <v>0</v>
          </cell>
          <cell r="S73">
            <v>0</v>
          </cell>
          <cell r="T73">
            <v>0</v>
          </cell>
          <cell r="U73">
            <v>1</v>
          </cell>
          <cell r="V73">
            <v>0</v>
          </cell>
          <cell r="W73">
            <v>0</v>
          </cell>
          <cell r="X73">
            <v>0</v>
          </cell>
          <cell r="Y73">
            <v>0</v>
          </cell>
          <cell r="Z73">
            <v>0</v>
          </cell>
          <cell r="AA73">
            <v>0</v>
          </cell>
          <cell r="AB73">
            <v>1</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row>
        <row r="74">
          <cell r="A74">
            <v>73</v>
          </cell>
          <cell r="F74" t="str">
            <v>Bengaluru</v>
          </cell>
          <cell r="G74">
            <v>0</v>
          </cell>
          <cell r="H74">
            <v>2</v>
          </cell>
          <cell r="O74">
            <v>1</v>
          </cell>
          <cell r="P74">
            <v>0</v>
          </cell>
          <cell r="Q74">
            <v>0</v>
          </cell>
          <cell r="R74">
            <v>0</v>
          </cell>
          <cell r="S74">
            <v>0</v>
          </cell>
          <cell r="T74">
            <v>0</v>
          </cell>
          <cell r="U74">
            <v>0</v>
          </cell>
          <cell r="V74">
            <v>0</v>
          </cell>
          <cell r="W74">
            <v>0</v>
          </cell>
          <cell r="X74">
            <v>1</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row>
        <row r="75">
          <cell r="A75">
            <v>74</v>
          </cell>
          <cell r="F75" t="str">
            <v>Hyderabad</v>
          </cell>
          <cell r="G75">
            <v>0</v>
          </cell>
          <cell r="H75">
            <v>5</v>
          </cell>
          <cell r="O75">
            <v>0</v>
          </cell>
          <cell r="P75">
            <v>0</v>
          </cell>
          <cell r="Q75">
            <v>0</v>
          </cell>
          <cell r="R75">
            <v>0</v>
          </cell>
          <cell r="S75">
            <v>1</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row>
        <row r="76">
          <cell r="A76">
            <v>75</v>
          </cell>
          <cell r="F76" t="str">
            <v>Mumbai</v>
          </cell>
          <cell r="G76">
            <v>0</v>
          </cell>
          <cell r="H76">
            <v>5</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row>
        <row r="77">
          <cell r="A77">
            <v>76</v>
          </cell>
          <cell r="F77" t="str">
            <v>Bengaluru</v>
          </cell>
          <cell r="G77">
            <v>0</v>
          </cell>
          <cell r="H77">
            <v>2</v>
          </cell>
          <cell r="O77">
            <v>1</v>
          </cell>
          <cell r="P77">
            <v>0</v>
          </cell>
          <cell r="Q77">
            <v>1</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row>
        <row r="78">
          <cell r="A78">
            <v>77</v>
          </cell>
          <cell r="F78" t="str">
            <v>Gurgaon</v>
          </cell>
          <cell r="G78">
            <v>0</v>
          </cell>
          <cell r="H78">
            <v>1</v>
          </cell>
          <cell r="O78">
            <v>1</v>
          </cell>
          <cell r="P78">
            <v>1</v>
          </cell>
          <cell r="Q78">
            <v>0</v>
          </cell>
          <cell r="R78">
            <v>0</v>
          </cell>
          <cell r="S78">
            <v>1</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row>
        <row r="79">
          <cell r="A79">
            <v>78</v>
          </cell>
          <cell r="F79" t="str">
            <v>Delhi</v>
          </cell>
          <cell r="G79">
            <v>0</v>
          </cell>
          <cell r="H79">
            <v>4</v>
          </cell>
          <cell r="O79">
            <v>1</v>
          </cell>
          <cell r="P79">
            <v>1</v>
          </cell>
          <cell r="Q79">
            <v>1</v>
          </cell>
          <cell r="R79">
            <v>0</v>
          </cell>
          <cell r="S79">
            <v>1</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row>
        <row r="80">
          <cell r="A80">
            <v>79</v>
          </cell>
          <cell r="F80" t="str">
            <v>Bengaluru</v>
          </cell>
          <cell r="G80">
            <v>0</v>
          </cell>
          <cell r="H80">
            <v>4</v>
          </cell>
          <cell r="O80">
            <v>1</v>
          </cell>
          <cell r="P80">
            <v>0</v>
          </cell>
          <cell r="Q80">
            <v>1</v>
          </cell>
          <cell r="R80">
            <v>0</v>
          </cell>
          <cell r="S80">
            <v>0</v>
          </cell>
          <cell r="T80">
            <v>0</v>
          </cell>
          <cell r="U80">
            <v>0</v>
          </cell>
          <cell r="V80">
            <v>0</v>
          </cell>
          <cell r="W80">
            <v>0</v>
          </cell>
          <cell r="X80">
            <v>0</v>
          </cell>
          <cell r="Y80">
            <v>0</v>
          </cell>
          <cell r="Z80">
            <v>0</v>
          </cell>
          <cell r="AA80">
            <v>0</v>
          </cell>
          <cell r="AB80">
            <v>0</v>
          </cell>
          <cell r="AC80">
            <v>1</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row>
        <row r="81">
          <cell r="A81">
            <v>80</v>
          </cell>
          <cell r="F81" t="str">
            <v>Hyderabad</v>
          </cell>
          <cell r="G81">
            <v>0</v>
          </cell>
          <cell r="H81">
            <v>3</v>
          </cell>
          <cell r="O81">
            <v>1</v>
          </cell>
          <cell r="P81">
            <v>1</v>
          </cell>
          <cell r="Q81">
            <v>0</v>
          </cell>
          <cell r="R81">
            <v>0</v>
          </cell>
          <cell r="S81">
            <v>0</v>
          </cell>
          <cell r="T81">
            <v>0</v>
          </cell>
          <cell r="U81">
            <v>0</v>
          </cell>
          <cell r="V81">
            <v>0</v>
          </cell>
          <cell r="W81">
            <v>0</v>
          </cell>
          <cell r="X81">
            <v>0</v>
          </cell>
          <cell r="Y81">
            <v>0</v>
          </cell>
          <cell r="Z81">
            <v>0</v>
          </cell>
          <cell r="AA81">
            <v>1</v>
          </cell>
          <cell r="AB81">
            <v>0</v>
          </cell>
          <cell r="AC81">
            <v>1</v>
          </cell>
          <cell r="AD81">
            <v>0</v>
          </cell>
          <cell r="AE81">
            <v>0</v>
          </cell>
          <cell r="AF81">
            <v>0</v>
          </cell>
          <cell r="AG81">
            <v>0</v>
          </cell>
          <cell r="AH81">
            <v>1</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row>
        <row r="82">
          <cell r="A82">
            <v>81</v>
          </cell>
          <cell r="F82" t="str">
            <v>Pune</v>
          </cell>
          <cell r="G82">
            <v>0</v>
          </cell>
          <cell r="H82">
            <v>2</v>
          </cell>
          <cell r="O82">
            <v>1</v>
          </cell>
          <cell r="P82">
            <v>1</v>
          </cell>
          <cell r="Q82">
            <v>0</v>
          </cell>
          <cell r="R82">
            <v>0</v>
          </cell>
          <cell r="S82">
            <v>0</v>
          </cell>
          <cell r="T82">
            <v>0</v>
          </cell>
          <cell r="U82">
            <v>1</v>
          </cell>
          <cell r="V82">
            <v>0</v>
          </cell>
          <cell r="W82">
            <v>0</v>
          </cell>
          <cell r="X82">
            <v>0</v>
          </cell>
          <cell r="Y82">
            <v>0</v>
          </cell>
          <cell r="Z82">
            <v>0</v>
          </cell>
          <cell r="AA82">
            <v>0</v>
          </cell>
          <cell r="AB82">
            <v>1</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row>
        <row r="83">
          <cell r="A83">
            <v>82</v>
          </cell>
          <cell r="F83" t="str">
            <v>Bengaluru</v>
          </cell>
          <cell r="G83">
            <v>0</v>
          </cell>
          <cell r="H83">
            <v>3</v>
          </cell>
          <cell r="O83">
            <v>0</v>
          </cell>
          <cell r="P83">
            <v>1</v>
          </cell>
          <cell r="Q83">
            <v>0</v>
          </cell>
          <cell r="R83">
            <v>0</v>
          </cell>
          <cell r="S83">
            <v>1</v>
          </cell>
          <cell r="T83">
            <v>0</v>
          </cell>
          <cell r="U83">
            <v>0</v>
          </cell>
          <cell r="V83">
            <v>0</v>
          </cell>
          <cell r="W83">
            <v>0</v>
          </cell>
          <cell r="X83">
            <v>0</v>
          </cell>
          <cell r="Y83">
            <v>0</v>
          </cell>
          <cell r="Z83">
            <v>0</v>
          </cell>
          <cell r="AA83">
            <v>0</v>
          </cell>
          <cell r="AB83">
            <v>0</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row>
        <row r="84">
          <cell r="A84">
            <v>83</v>
          </cell>
          <cell r="F84" t="str">
            <v>Delhi</v>
          </cell>
          <cell r="G84">
            <v>0</v>
          </cell>
          <cell r="H84">
            <v>2</v>
          </cell>
          <cell r="O84">
            <v>1</v>
          </cell>
          <cell r="P84">
            <v>0</v>
          </cell>
          <cell r="Q84">
            <v>0</v>
          </cell>
          <cell r="R84">
            <v>0</v>
          </cell>
          <cell r="S84">
            <v>1</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row>
        <row r="85">
          <cell r="A85">
            <v>84</v>
          </cell>
          <cell r="F85" t="str">
            <v>Bengaluru</v>
          </cell>
          <cell r="G85">
            <v>0</v>
          </cell>
          <cell r="H85">
            <v>1</v>
          </cell>
          <cell r="O85">
            <v>0</v>
          </cell>
          <cell r="P85">
            <v>0</v>
          </cell>
          <cell r="Q85">
            <v>0</v>
          </cell>
          <cell r="R85">
            <v>0</v>
          </cell>
          <cell r="S85">
            <v>1</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row>
        <row r="86">
          <cell r="A86">
            <v>85</v>
          </cell>
          <cell r="F86" t="str">
            <v>Gurgaon</v>
          </cell>
          <cell r="G86">
            <v>0</v>
          </cell>
          <cell r="H86">
            <v>2</v>
          </cell>
          <cell r="O86">
            <v>0</v>
          </cell>
          <cell r="P86">
            <v>0</v>
          </cell>
          <cell r="Q86">
            <v>1</v>
          </cell>
          <cell r="R86">
            <v>0</v>
          </cell>
          <cell r="S86">
            <v>1</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row>
        <row r="87">
          <cell r="A87">
            <v>86</v>
          </cell>
          <cell r="F87" t="str">
            <v>Hyderabad</v>
          </cell>
          <cell r="G87">
            <v>0</v>
          </cell>
          <cell r="H87">
            <v>1</v>
          </cell>
          <cell r="O87">
            <v>1</v>
          </cell>
          <cell r="P87">
            <v>0</v>
          </cell>
          <cell r="Q87">
            <v>0</v>
          </cell>
          <cell r="R87">
            <v>0</v>
          </cell>
          <cell r="S87">
            <v>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1</v>
          </cell>
          <cell r="AY87">
            <v>1</v>
          </cell>
        </row>
        <row r="88">
          <cell r="A88">
            <v>87</v>
          </cell>
          <cell r="F88" t="str">
            <v>Mumbai</v>
          </cell>
          <cell r="G88">
            <v>0</v>
          </cell>
          <cell r="H88">
            <v>4</v>
          </cell>
          <cell r="O88">
            <v>0</v>
          </cell>
          <cell r="P88">
            <v>0</v>
          </cell>
          <cell r="Q88">
            <v>0</v>
          </cell>
          <cell r="R88">
            <v>0</v>
          </cell>
          <cell r="S88">
            <v>1</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row>
        <row r="89">
          <cell r="A89">
            <v>88</v>
          </cell>
          <cell r="F89" t="str">
            <v>Mumbai</v>
          </cell>
          <cell r="G89">
            <v>2</v>
          </cell>
          <cell r="H89">
            <v>5</v>
          </cell>
          <cell r="O89">
            <v>0</v>
          </cell>
          <cell r="P89">
            <v>0</v>
          </cell>
          <cell r="Q89">
            <v>1</v>
          </cell>
          <cell r="R89">
            <v>1</v>
          </cell>
          <cell r="S89">
            <v>1</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1</v>
          </cell>
          <cell r="AO89">
            <v>0</v>
          </cell>
          <cell r="AP89">
            <v>0</v>
          </cell>
          <cell r="AQ89">
            <v>0</v>
          </cell>
          <cell r="AR89">
            <v>0</v>
          </cell>
          <cell r="AS89">
            <v>0</v>
          </cell>
          <cell r="AT89">
            <v>0</v>
          </cell>
          <cell r="AU89">
            <v>0</v>
          </cell>
          <cell r="AV89">
            <v>0</v>
          </cell>
          <cell r="AW89">
            <v>0</v>
          </cell>
          <cell r="AX89">
            <v>0</v>
          </cell>
          <cell r="AY89">
            <v>0</v>
          </cell>
        </row>
        <row r="90">
          <cell r="A90">
            <v>89</v>
          </cell>
          <cell r="F90" t="str">
            <v>Noida</v>
          </cell>
          <cell r="G90">
            <v>0</v>
          </cell>
          <cell r="H90">
            <v>3</v>
          </cell>
          <cell r="O90">
            <v>1</v>
          </cell>
          <cell r="P90">
            <v>1</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row>
        <row r="91">
          <cell r="A91">
            <v>90</v>
          </cell>
          <cell r="F91" t="str">
            <v>Noida</v>
          </cell>
          <cell r="G91">
            <v>0</v>
          </cell>
          <cell r="H91">
            <v>2</v>
          </cell>
          <cell r="O91">
            <v>1</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1</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row>
        <row r="92">
          <cell r="A92">
            <v>91</v>
          </cell>
          <cell r="F92" t="str">
            <v>Mumbai</v>
          </cell>
          <cell r="G92">
            <v>0</v>
          </cell>
          <cell r="H92">
            <v>2</v>
          </cell>
          <cell r="O92">
            <v>0</v>
          </cell>
          <cell r="P92">
            <v>0</v>
          </cell>
          <cell r="Q92">
            <v>0</v>
          </cell>
          <cell r="R92">
            <v>0</v>
          </cell>
          <cell r="S92">
            <v>1</v>
          </cell>
          <cell r="T92">
            <v>1</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row>
        <row r="93">
          <cell r="A93">
            <v>92</v>
          </cell>
          <cell r="F93" t="str">
            <v>Chennai</v>
          </cell>
          <cell r="G93">
            <v>0</v>
          </cell>
          <cell r="H93">
            <v>1</v>
          </cell>
          <cell r="O93">
            <v>1</v>
          </cell>
          <cell r="P93">
            <v>0</v>
          </cell>
          <cell r="Q93">
            <v>0</v>
          </cell>
          <cell r="R93">
            <v>0</v>
          </cell>
          <cell r="S93">
            <v>1</v>
          </cell>
          <cell r="T93">
            <v>0</v>
          </cell>
          <cell r="U93">
            <v>0</v>
          </cell>
          <cell r="V93">
            <v>0</v>
          </cell>
          <cell r="W93">
            <v>0</v>
          </cell>
          <cell r="X93">
            <v>0</v>
          </cell>
          <cell r="Y93">
            <v>0</v>
          </cell>
          <cell r="Z93">
            <v>0</v>
          </cell>
          <cell r="AA93">
            <v>0</v>
          </cell>
          <cell r="AB93">
            <v>0</v>
          </cell>
          <cell r="AC93">
            <v>1</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row>
        <row r="94">
          <cell r="A94">
            <v>93</v>
          </cell>
          <cell r="F94" t="str">
            <v>Pune</v>
          </cell>
          <cell r="G94">
            <v>0</v>
          </cell>
          <cell r="H94">
            <v>2</v>
          </cell>
          <cell r="O94">
            <v>0</v>
          </cell>
          <cell r="P94">
            <v>0</v>
          </cell>
          <cell r="Q94">
            <v>0</v>
          </cell>
          <cell r="R94">
            <v>0</v>
          </cell>
          <cell r="S94">
            <v>1</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1</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row>
        <row r="95">
          <cell r="A95">
            <v>94</v>
          </cell>
          <cell r="F95" t="str">
            <v>Chennai</v>
          </cell>
          <cell r="G95">
            <v>0</v>
          </cell>
          <cell r="H95">
            <v>2</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1</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row>
        <row r="96">
          <cell r="A96">
            <v>95</v>
          </cell>
          <cell r="F96" t="str">
            <v>Gurgaon</v>
          </cell>
          <cell r="G96">
            <v>4</v>
          </cell>
          <cell r="H96" t="str">
            <v>ND</v>
          </cell>
          <cell r="O96">
            <v>0</v>
          </cell>
          <cell r="P96">
            <v>0</v>
          </cell>
          <cell r="Q96">
            <v>0</v>
          </cell>
          <cell r="R96">
            <v>0</v>
          </cell>
          <cell r="S96">
            <v>1</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row>
        <row r="97">
          <cell r="A97">
            <v>96</v>
          </cell>
          <cell r="F97" t="str">
            <v>Bengaluru</v>
          </cell>
          <cell r="G97">
            <v>0</v>
          </cell>
          <cell r="H97">
            <v>1</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row>
        <row r="98">
          <cell r="A98">
            <v>97</v>
          </cell>
          <cell r="F98" t="str">
            <v>Hyderabad</v>
          </cell>
          <cell r="G98">
            <v>0</v>
          </cell>
          <cell r="H98">
            <v>2</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1</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row>
        <row r="99">
          <cell r="A99">
            <v>98</v>
          </cell>
          <cell r="F99" t="str">
            <v>Hyderabad</v>
          </cell>
          <cell r="G99">
            <v>0</v>
          </cell>
          <cell r="H99">
            <v>3</v>
          </cell>
          <cell r="O99">
            <v>0</v>
          </cell>
          <cell r="P99">
            <v>0</v>
          </cell>
          <cell r="Q99">
            <v>0</v>
          </cell>
          <cell r="R99">
            <v>0</v>
          </cell>
          <cell r="S99">
            <v>1</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row>
        <row r="100">
          <cell r="A100">
            <v>99</v>
          </cell>
          <cell r="F100" t="str">
            <v>Chennai</v>
          </cell>
          <cell r="G100">
            <v>0</v>
          </cell>
          <cell r="H100">
            <v>1</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row>
        <row r="101">
          <cell r="A101">
            <v>100</v>
          </cell>
          <cell r="F101" t="str">
            <v>Noida</v>
          </cell>
          <cell r="G101">
            <v>0</v>
          </cell>
          <cell r="H101">
            <v>2</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row>
        <row r="102">
          <cell r="A102">
            <v>101</v>
          </cell>
          <cell r="F102" t="str">
            <v>Gurgaon</v>
          </cell>
          <cell r="G102">
            <v>0</v>
          </cell>
          <cell r="H102">
            <v>4</v>
          </cell>
          <cell r="O102">
            <v>1</v>
          </cell>
          <cell r="P102">
            <v>0</v>
          </cell>
          <cell r="Q102">
            <v>0</v>
          </cell>
          <cell r="R102">
            <v>1</v>
          </cell>
          <cell r="S102">
            <v>0</v>
          </cell>
          <cell r="T102">
            <v>0</v>
          </cell>
          <cell r="U102">
            <v>0</v>
          </cell>
          <cell r="V102">
            <v>0</v>
          </cell>
          <cell r="W102">
            <v>0</v>
          </cell>
          <cell r="X102">
            <v>0</v>
          </cell>
          <cell r="Y102">
            <v>0</v>
          </cell>
          <cell r="Z102">
            <v>0</v>
          </cell>
          <cell r="AA102">
            <v>0</v>
          </cell>
          <cell r="AB102">
            <v>0</v>
          </cell>
          <cell r="AC102">
            <v>1</v>
          </cell>
          <cell r="AD102">
            <v>0</v>
          </cell>
          <cell r="AE102">
            <v>0</v>
          </cell>
          <cell r="AF102">
            <v>0</v>
          </cell>
          <cell r="AG102">
            <v>0</v>
          </cell>
          <cell r="AH102">
            <v>0</v>
          </cell>
          <cell r="AI102">
            <v>0</v>
          </cell>
          <cell r="AJ102">
            <v>0</v>
          </cell>
          <cell r="AK102">
            <v>0</v>
          </cell>
          <cell r="AL102">
            <v>0</v>
          </cell>
          <cell r="AM102">
            <v>1</v>
          </cell>
          <cell r="AN102">
            <v>0</v>
          </cell>
          <cell r="AO102">
            <v>0</v>
          </cell>
          <cell r="AP102">
            <v>0</v>
          </cell>
          <cell r="AQ102">
            <v>0</v>
          </cell>
          <cell r="AR102">
            <v>0</v>
          </cell>
          <cell r="AS102">
            <v>0</v>
          </cell>
          <cell r="AT102">
            <v>0</v>
          </cell>
          <cell r="AU102">
            <v>0</v>
          </cell>
          <cell r="AV102">
            <v>0</v>
          </cell>
          <cell r="AW102">
            <v>0</v>
          </cell>
          <cell r="AX102">
            <v>0</v>
          </cell>
          <cell r="AY102">
            <v>0</v>
          </cell>
        </row>
        <row r="103">
          <cell r="A103">
            <v>102</v>
          </cell>
          <cell r="F103" t="str">
            <v>Pune</v>
          </cell>
          <cell r="G103">
            <v>0</v>
          </cell>
          <cell r="H103">
            <v>4</v>
          </cell>
          <cell r="O103">
            <v>1</v>
          </cell>
          <cell r="P103">
            <v>1</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row>
        <row r="104">
          <cell r="A104">
            <v>103</v>
          </cell>
          <cell r="F104" t="str">
            <v>Hyderabad</v>
          </cell>
          <cell r="G104">
            <v>0</v>
          </cell>
          <cell r="H104">
            <v>2</v>
          </cell>
          <cell r="O104">
            <v>1</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row>
        <row r="105">
          <cell r="A105">
            <v>104</v>
          </cell>
          <cell r="F105" t="str">
            <v>Hyderabad</v>
          </cell>
          <cell r="G105">
            <v>0</v>
          </cell>
          <cell r="H105">
            <v>3</v>
          </cell>
          <cell r="O105">
            <v>0</v>
          </cell>
          <cell r="P105">
            <v>0</v>
          </cell>
          <cell r="Q105">
            <v>0</v>
          </cell>
          <cell r="R105">
            <v>0</v>
          </cell>
          <cell r="S105">
            <v>1</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row>
        <row r="106">
          <cell r="A106">
            <v>105</v>
          </cell>
          <cell r="F106" t="str">
            <v>Bengaluru</v>
          </cell>
          <cell r="G106">
            <v>0</v>
          </cell>
          <cell r="H106">
            <v>2</v>
          </cell>
          <cell r="O106">
            <v>0</v>
          </cell>
          <cell r="P106">
            <v>0</v>
          </cell>
          <cell r="Q106">
            <v>1</v>
          </cell>
          <cell r="R106">
            <v>0</v>
          </cell>
          <cell r="S106">
            <v>1</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1</v>
          </cell>
          <cell r="AN106">
            <v>0</v>
          </cell>
          <cell r="AO106">
            <v>0</v>
          </cell>
          <cell r="AP106">
            <v>0</v>
          </cell>
          <cell r="AQ106">
            <v>0</v>
          </cell>
          <cell r="AR106">
            <v>0</v>
          </cell>
          <cell r="AS106">
            <v>0</v>
          </cell>
          <cell r="AT106">
            <v>0</v>
          </cell>
          <cell r="AU106">
            <v>0</v>
          </cell>
          <cell r="AV106">
            <v>0</v>
          </cell>
          <cell r="AW106">
            <v>0</v>
          </cell>
          <cell r="AX106">
            <v>0</v>
          </cell>
          <cell r="AY106">
            <v>0</v>
          </cell>
        </row>
        <row r="107">
          <cell r="A107">
            <v>106</v>
          </cell>
          <cell r="F107" t="str">
            <v>Bengaluru</v>
          </cell>
          <cell r="G107">
            <v>0</v>
          </cell>
          <cell r="H107">
            <v>1</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row>
        <row r="108">
          <cell r="A108">
            <v>107</v>
          </cell>
          <cell r="F108" t="str">
            <v>Hyderabad</v>
          </cell>
          <cell r="G108">
            <v>0</v>
          </cell>
          <cell r="H108">
            <v>2</v>
          </cell>
          <cell r="O108">
            <v>1</v>
          </cell>
          <cell r="P108">
            <v>0</v>
          </cell>
          <cell r="Q108">
            <v>1</v>
          </cell>
          <cell r="R108">
            <v>1</v>
          </cell>
          <cell r="S108">
            <v>1</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row>
        <row r="109">
          <cell r="A109">
            <v>108</v>
          </cell>
          <cell r="F109" t="str">
            <v>Mumbai</v>
          </cell>
          <cell r="G109">
            <v>0</v>
          </cell>
          <cell r="H109">
            <v>2</v>
          </cell>
          <cell r="O109">
            <v>0</v>
          </cell>
          <cell r="P109">
            <v>0</v>
          </cell>
          <cell r="Q109">
            <v>0</v>
          </cell>
          <cell r="R109">
            <v>0</v>
          </cell>
          <cell r="S109">
            <v>1</v>
          </cell>
          <cell r="T109">
            <v>1</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row>
        <row r="110">
          <cell r="A110">
            <v>109</v>
          </cell>
          <cell r="F110" t="str">
            <v>Pune</v>
          </cell>
          <cell r="G110">
            <v>0</v>
          </cell>
          <cell r="H110">
            <v>2</v>
          </cell>
          <cell r="O110">
            <v>0</v>
          </cell>
          <cell r="P110">
            <v>0</v>
          </cell>
          <cell r="Q110">
            <v>0</v>
          </cell>
          <cell r="R110">
            <v>0</v>
          </cell>
          <cell r="S110">
            <v>1</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row>
        <row r="111">
          <cell r="A111">
            <v>110</v>
          </cell>
          <cell r="F111" t="str">
            <v>Gurgaon</v>
          </cell>
          <cell r="G111">
            <v>0</v>
          </cell>
          <cell r="H111">
            <v>3</v>
          </cell>
          <cell r="O111">
            <v>1</v>
          </cell>
          <cell r="P111">
            <v>0</v>
          </cell>
          <cell r="Q111">
            <v>0</v>
          </cell>
          <cell r="R111">
            <v>0</v>
          </cell>
          <cell r="S111">
            <v>1</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row>
        <row r="112">
          <cell r="A112">
            <v>111</v>
          </cell>
          <cell r="F112" t="str">
            <v>Gurgaon</v>
          </cell>
          <cell r="G112">
            <v>0</v>
          </cell>
          <cell r="H112">
            <v>1</v>
          </cell>
          <cell r="O112">
            <v>0</v>
          </cell>
          <cell r="P112">
            <v>0</v>
          </cell>
          <cell r="Q112">
            <v>0</v>
          </cell>
          <cell r="R112">
            <v>0</v>
          </cell>
          <cell r="S112">
            <v>1</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row>
        <row r="113">
          <cell r="A113">
            <v>112</v>
          </cell>
          <cell r="F113" t="str">
            <v>Hyderabad</v>
          </cell>
          <cell r="G113">
            <v>0</v>
          </cell>
          <cell r="H113">
            <v>2</v>
          </cell>
          <cell r="O113">
            <v>1</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1</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row>
        <row r="114">
          <cell r="A114">
            <v>113</v>
          </cell>
          <cell r="F114" t="str">
            <v>Hyderabad</v>
          </cell>
          <cell r="G114">
            <v>0</v>
          </cell>
          <cell r="H114">
            <v>1</v>
          </cell>
          <cell r="O114">
            <v>1</v>
          </cell>
          <cell r="P114">
            <v>0</v>
          </cell>
          <cell r="Q114">
            <v>0</v>
          </cell>
          <cell r="R114">
            <v>0</v>
          </cell>
          <cell r="S114">
            <v>1</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row>
        <row r="115">
          <cell r="A115">
            <v>114</v>
          </cell>
          <cell r="F115" t="str">
            <v>Mumbai</v>
          </cell>
          <cell r="G115">
            <v>0</v>
          </cell>
          <cell r="H115">
            <v>3</v>
          </cell>
          <cell r="O115">
            <v>1</v>
          </cell>
          <cell r="P115">
            <v>1</v>
          </cell>
          <cell r="Q115">
            <v>1</v>
          </cell>
          <cell r="R115">
            <v>1</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row>
        <row r="116">
          <cell r="A116">
            <v>115</v>
          </cell>
          <cell r="F116" t="str">
            <v>Gurgaon</v>
          </cell>
          <cell r="G116">
            <v>0</v>
          </cell>
          <cell r="H116">
            <v>2</v>
          </cell>
          <cell r="O116">
            <v>0</v>
          </cell>
          <cell r="P116">
            <v>1</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1</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row>
        <row r="117">
          <cell r="A117">
            <v>116</v>
          </cell>
          <cell r="F117" t="str">
            <v>Gurgaon</v>
          </cell>
          <cell r="G117">
            <v>0</v>
          </cell>
          <cell r="H117">
            <v>1</v>
          </cell>
          <cell r="O117">
            <v>0</v>
          </cell>
          <cell r="P117">
            <v>0</v>
          </cell>
          <cell r="Q117">
            <v>1</v>
          </cell>
          <cell r="R117">
            <v>1</v>
          </cell>
          <cell r="S117">
            <v>1</v>
          </cell>
          <cell r="T117">
            <v>0</v>
          </cell>
          <cell r="U117">
            <v>0</v>
          </cell>
          <cell r="V117">
            <v>0</v>
          </cell>
          <cell r="W117">
            <v>0</v>
          </cell>
          <cell r="X117">
            <v>0</v>
          </cell>
          <cell r="Y117">
            <v>0</v>
          </cell>
          <cell r="Z117">
            <v>0</v>
          </cell>
          <cell r="AA117">
            <v>0</v>
          </cell>
          <cell r="AB117">
            <v>0</v>
          </cell>
          <cell r="AC117">
            <v>1</v>
          </cell>
          <cell r="AD117">
            <v>0</v>
          </cell>
          <cell r="AE117">
            <v>0</v>
          </cell>
          <cell r="AF117">
            <v>0</v>
          </cell>
          <cell r="AG117">
            <v>0</v>
          </cell>
          <cell r="AH117">
            <v>1</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row>
        <row r="118">
          <cell r="A118">
            <v>117</v>
          </cell>
          <cell r="F118" t="str">
            <v>Gurgaon</v>
          </cell>
          <cell r="G118">
            <v>0</v>
          </cell>
          <cell r="H118">
            <v>3</v>
          </cell>
          <cell r="O118">
            <v>1</v>
          </cell>
          <cell r="P118">
            <v>0</v>
          </cell>
          <cell r="Q118">
            <v>1</v>
          </cell>
          <cell r="R118">
            <v>0</v>
          </cell>
          <cell r="S118">
            <v>1</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1</v>
          </cell>
          <cell r="AN118">
            <v>0</v>
          </cell>
          <cell r="AO118">
            <v>0</v>
          </cell>
          <cell r="AP118">
            <v>0</v>
          </cell>
          <cell r="AQ118">
            <v>0</v>
          </cell>
          <cell r="AR118">
            <v>0</v>
          </cell>
          <cell r="AS118">
            <v>0</v>
          </cell>
          <cell r="AT118">
            <v>0</v>
          </cell>
          <cell r="AU118">
            <v>0</v>
          </cell>
          <cell r="AV118">
            <v>0</v>
          </cell>
          <cell r="AW118">
            <v>0</v>
          </cell>
          <cell r="AX118">
            <v>0</v>
          </cell>
          <cell r="AY118">
            <v>0</v>
          </cell>
        </row>
        <row r="119">
          <cell r="A119">
            <v>118</v>
          </cell>
          <cell r="F119" t="str">
            <v>Hyderabad</v>
          </cell>
          <cell r="G119">
            <v>0</v>
          </cell>
          <cell r="H119">
            <v>2</v>
          </cell>
          <cell r="O119">
            <v>1</v>
          </cell>
          <cell r="P119">
            <v>1</v>
          </cell>
          <cell r="Q119">
            <v>1</v>
          </cell>
          <cell r="R119">
            <v>1</v>
          </cell>
          <cell r="S119">
            <v>1</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row>
        <row r="120">
          <cell r="A120">
            <v>119</v>
          </cell>
          <cell r="F120" t="str">
            <v>Gurgaon</v>
          </cell>
          <cell r="G120">
            <v>1</v>
          </cell>
          <cell r="H120">
            <v>5</v>
          </cell>
          <cell r="O120">
            <v>1</v>
          </cell>
          <cell r="P120">
            <v>1</v>
          </cell>
          <cell r="Q120">
            <v>0</v>
          </cell>
          <cell r="R120">
            <v>0</v>
          </cell>
          <cell r="S120">
            <v>1</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1</v>
          </cell>
          <cell r="AY120">
            <v>0</v>
          </cell>
        </row>
        <row r="121">
          <cell r="A121">
            <v>120</v>
          </cell>
          <cell r="F121" t="str">
            <v>Delhi</v>
          </cell>
          <cell r="G121">
            <v>0</v>
          </cell>
          <cell r="H121">
            <v>5</v>
          </cell>
          <cell r="O121">
            <v>1</v>
          </cell>
          <cell r="P121">
            <v>0</v>
          </cell>
          <cell r="Q121">
            <v>0</v>
          </cell>
          <cell r="R121">
            <v>0</v>
          </cell>
          <cell r="S121">
            <v>1</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row>
        <row r="122">
          <cell r="A122">
            <v>121</v>
          </cell>
          <cell r="F122" t="str">
            <v>Gurgaon</v>
          </cell>
          <cell r="G122">
            <v>0</v>
          </cell>
          <cell r="H122">
            <v>4</v>
          </cell>
          <cell r="O122">
            <v>1</v>
          </cell>
          <cell r="P122">
            <v>1</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1</v>
          </cell>
          <cell r="AK122">
            <v>0</v>
          </cell>
          <cell r="AL122">
            <v>1</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row>
        <row r="123">
          <cell r="A123">
            <v>122</v>
          </cell>
          <cell r="F123" t="str">
            <v>Bengaluru</v>
          </cell>
          <cell r="G123">
            <v>0</v>
          </cell>
          <cell r="H123">
            <v>2</v>
          </cell>
          <cell r="O123">
            <v>0</v>
          </cell>
          <cell r="P123">
            <v>1</v>
          </cell>
          <cell r="Q123">
            <v>0</v>
          </cell>
          <cell r="R123">
            <v>0</v>
          </cell>
          <cell r="S123">
            <v>0</v>
          </cell>
          <cell r="T123">
            <v>0</v>
          </cell>
          <cell r="U123">
            <v>0</v>
          </cell>
          <cell r="V123">
            <v>0</v>
          </cell>
          <cell r="W123">
            <v>0</v>
          </cell>
          <cell r="X123">
            <v>0</v>
          </cell>
          <cell r="Y123">
            <v>0</v>
          </cell>
          <cell r="Z123">
            <v>0</v>
          </cell>
          <cell r="AA123">
            <v>0</v>
          </cell>
          <cell r="AB123">
            <v>0</v>
          </cell>
          <cell r="AC123">
            <v>1</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row>
        <row r="124">
          <cell r="A124">
            <v>123</v>
          </cell>
          <cell r="F124" t="str">
            <v>Bengaluru</v>
          </cell>
          <cell r="G124">
            <v>0</v>
          </cell>
          <cell r="H124">
            <v>4</v>
          </cell>
          <cell r="O124">
            <v>1</v>
          </cell>
          <cell r="P124">
            <v>0</v>
          </cell>
          <cell r="Q124">
            <v>0</v>
          </cell>
          <cell r="R124">
            <v>0</v>
          </cell>
          <cell r="S124">
            <v>0</v>
          </cell>
          <cell r="T124">
            <v>0</v>
          </cell>
          <cell r="U124">
            <v>1</v>
          </cell>
          <cell r="V124">
            <v>0</v>
          </cell>
          <cell r="W124">
            <v>1</v>
          </cell>
          <cell r="X124">
            <v>0</v>
          </cell>
          <cell r="Y124">
            <v>0</v>
          </cell>
          <cell r="Z124">
            <v>0</v>
          </cell>
          <cell r="AA124">
            <v>1</v>
          </cell>
          <cell r="AB124">
            <v>0</v>
          </cell>
          <cell r="AC124">
            <v>1</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row>
        <row r="125">
          <cell r="A125">
            <v>124</v>
          </cell>
          <cell r="F125" t="str">
            <v>Bengaluru</v>
          </cell>
          <cell r="G125">
            <v>0</v>
          </cell>
          <cell r="H125">
            <v>4</v>
          </cell>
          <cell r="O125">
            <v>1</v>
          </cell>
          <cell r="P125">
            <v>1</v>
          </cell>
          <cell r="Q125">
            <v>0</v>
          </cell>
          <cell r="R125">
            <v>0</v>
          </cell>
          <cell r="S125">
            <v>0</v>
          </cell>
          <cell r="T125">
            <v>0</v>
          </cell>
          <cell r="U125">
            <v>0</v>
          </cell>
          <cell r="V125">
            <v>0</v>
          </cell>
          <cell r="W125">
            <v>1</v>
          </cell>
          <cell r="X125">
            <v>1</v>
          </cell>
          <cell r="Y125">
            <v>0</v>
          </cell>
          <cell r="Z125">
            <v>0</v>
          </cell>
          <cell r="AA125">
            <v>1</v>
          </cell>
          <cell r="AB125">
            <v>1</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row>
        <row r="126">
          <cell r="A126">
            <v>125</v>
          </cell>
          <cell r="F126" t="str">
            <v>Noida</v>
          </cell>
          <cell r="G126">
            <v>0</v>
          </cell>
          <cell r="H126">
            <v>2</v>
          </cell>
          <cell r="O126">
            <v>1</v>
          </cell>
          <cell r="P126">
            <v>1</v>
          </cell>
          <cell r="Q126">
            <v>0</v>
          </cell>
          <cell r="R126">
            <v>0</v>
          </cell>
          <cell r="S126">
            <v>0</v>
          </cell>
          <cell r="T126">
            <v>0</v>
          </cell>
          <cell r="U126">
            <v>0</v>
          </cell>
          <cell r="V126">
            <v>0</v>
          </cell>
          <cell r="W126">
            <v>0</v>
          </cell>
          <cell r="X126">
            <v>0</v>
          </cell>
          <cell r="Y126">
            <v>0</v>
          </cell>
          <cell r="Z126">
            <v>0</v>
          </cell>
          <cell r="AA126">
            <v>1</v>
          </cell>
          <cell r="AB126">
            <v>0</v>
          </cell>
          <cell r="AC126">
            <v>1</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row>
        <row r="127">
          <cell r="A127">
            <v>126</v>
          </cell>
          <cell r="F127" t="str">
            <v>Remote</v>
          </cell>
          <cell r="G127">
            <v>0</v>
          </cell>
          <cell r="H127">
            <v>3</v>
          </cell>
          <cell r="O127">
            <v>1</v>
          </cell>
          <cell r="P127">
            <v>1</v>
          </cell>
          <cell r="Q127">
            <v>0</v>
          </cell>
          <cell r="R127">
            <v>0</v>
          </cell>
          <cell r="S127">
            <v>0</v>
          </cell>
          <cell r="T127">
            <v>0</v>
          </cell>
          <cell r="U127">
            <v>0</v>
          </cell>
          <cell r="V127">
            <v>0</v>
          </cell>
          <cell r="W127">
            <v>0</v>
          </cell>
          <cell r="X127">
            <v>0</v>
          </cell>
          <cell r="Y127">
            <v>1</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row>
        <row r="128">
          <cell r="A128">
            <v>127</v>
          </cell>
          <cell r="F128" t="str">
            <v>Hyderabad</v>
          </cell>
          <cell r="G128">
            <v>0</v>
          </cell>
          <cell r="H128">
            <v>2</v>
          </cell>
          <cell r="O128">
            <v>0</v>
          </cell>
          <cell r="P128">
            <v>1</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row>
        <row r="129">
          <cell r="A129">
            <v>128</v>
          </cell>
          <cell r="F129" t="str">
            <v>Bengaluru</v>
          </cell>
          <cell r="G129">
            <v>0</v>
          </cell>
          <cell r="H129">
            <v>4</v>
          </cell>
          <cell r="O129">
            <v>1</v>
          </cell>
          <cell r="P129">
            <v>0</v>
          </cell>
          <cell r="Q129">
            <v>0</v>
          </cell>
          <cell r="R129">
            <v>0</v>
          </cell>
          <cell r="S129">
            <v>0</v>
          </cell>
          <cell r="T129">
            <v>0</v>
          </cell>
          <cell r="U129">
            <v>1</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row>
        <row r="130">
          <cell r="A130">
            <v>129</v>
          </cell>
          <cell r="F130" t="str">
            <v>Delhi</v>
          </cell>
          <cell r="G130">
            <v>0</v>
          </cell>
          <cell r="H130">
            <v>2</v>
          </cell>
          <cell r="O130">
            <v>0</v>
          </cell>
          <cell r="P130">
            <v>1</v>
          </cell>
          <cell r="Q130">
            <v>0</v>
          </cell>
          <cell r="R130">
            <v>0</v>
          </cell>
          <cell r="S130">
            <v>0</v>
          </cell>
          <cell r="T130">
            <v>0</v>
          </cell>
          <cell r="U130">
            <v>1</v>
          </cell>
          <cell r="V130">
            <v>0</v>
          </cell>
          <cell r="W130">
            <v>0</v>
          </cell>
          <cell r="X130">
            <v>0</v>
          </cell>
          <cell r="Y130">
            <v>0</v>
          </cell>
          <cell r="Z130">
            <v>0</v>
          </cell>
          <cell r="AA130">
            <v>1</v>
          </cell>
          <cell r="AB130">
            <v>0</v>
          </cell>
          <cell r="AC130">
            <v>1</v>
          </cell>
          <cell r="AD130">
            <v>0</v>
          </cell>
          <cell r="AE130">
            <v>0</v>
          </cell>
          <cell r="AF130">
            <v>0</v>
          </cell>
          <cell r="AG130">
            <v>0</v>
          </cell>
          <cell r="AH130">
            <v>0</v>
          </cell>
          <cell r="AI130">
            <v>0</v>
          </cell>
          <cell r="AJ130">
            <v>1</v>
          </cell>
          <cell r="AK130">
            <v>0</v>
          </cell>
          <cell r="AL130">
            <v>0</v>
          </cell>
          <cell r="AM130">
            <v>0</v>
          </cell>
          <cell r="AN130">
            <v>0</v>
          </cell>
          <cell r="AO130">
            <v>0</v>
          </cell>
          <cell r="AP130">
            <v>0</v>
          </cell>
          <cell r="AQ130">
            <v>0</v>
          </cell>
          <cell r="AR130">
            <v>1</v>
          </cell>
          <cell r="AS130">
            <v>1</v>
          </cell>
          <cell r="AT130">
            <v>0</v>
          </cell>
          <cell r="AU130">
            <v>0</v>
          </cell>
          <cell r="AV130">
            <v>0</v>
          </cell>
          <cell r="AW130">
            <v>0</v>
          </cell>
          <cell r="AX130">
            <v>0</v>
          </cell>
          <cell r="AY130">
            <v>0</v>
          </cell>
        </row>
        <row r="131">
          <cell r="A131">
            <v>130</v>
          </cell>
          <cell r="F131" t="str">
            <v>Bengaluru</v>
          </cell>
          <cell r="G131">
            <v>0</v>
          </cell>
          <cell r="H131">
            <v>2</v>
          </cell>
          <cell r="O131">
            <v>1</v>
          </cell>
          <cell r="P131">
            <v>0</v>
          </cell>
          <cell r="Q131">
            <v>0</v>
          </cell>
          <cell r="R131">
            <v>0</v>
          </cell>
          <cell r="S131">
            <v>0</v>
          </cell>
          <cell r="T131">
            <v>0</v>
          </cell>
          <cell r="U131">
            <v>0</v>
          </cell>
          <cell r="V131">
            <v>1</v>
          </cell>
          <cell r="W131">
            <v>0</v>
          </cell>
          <cell r="X131">
            <v>0</v>
          </cell>
          <cell r="Y131">
            <v>0</v>
          </cell>
          <cell r="Z131">
            <v>0</v>
          </cell>
          <cell r="AA131">
            <v>1</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1</v>
          </cell>
          <cell r="AP131">
            <v>0</v>
          </cell>
          <cell r="AQ131">
            <v>1</v>
          </cell>
          <cell r="AR131">
            <v>1</v>
          </cell>
          <cell r="AS131">
            <v>0</v>
          </cell>
          <cell r="AT131">
            <v>0</v>
          </cell>
          <cell r="AU131">
            <v>0</v>
          </cell>
          <cell r="AV131">
            <v>0</v>
          </cell>
          <cell r="AW131">
            <v>0</v>
          </cell>
          <cell r="AX131">
            <v>0</v>
          </cell>
          <cell r="AY131">
            <v>0</v>
          </cell>
        </row>
        <row r="132">
          <cell r="A132">
            <v>131</v>
          </cell>
          <cell r="F132" t="str">
            <v>Gurgaon</v>
          </cell>
          <cell r="G132">
            <v>0</v>
          </cell>
          <cell r="H132">
            <v>8</v>
          </cell>
          <cell r="O132">
            <v>1</v>
          </cell>
          <cell r="P132">
            <v>1</v>
          </cell>
          <cell r="Q132">
            <v>0</v>
          </cell>
          <cell r="R132">
            <v>0</v>
          </cell>
          <cell r="S132">
            <v>0</v>
          </cell>
          <cell r="T132">
            <v>0</v>
          </cell>
          <cell r="U132">
            <v>1</v>
          </cell>
          <cell r="V132">
            <v>0</v>
          </cell>
          <cell r="W132">
            <v>0</v>
          </cell>
          <cell r="X132">
            <v>0</v>
          </cell>
          <cell r="Y132">
            <v>0</v>
          </cell>
          <cell r="Z132">
            <v>0</v>
          </cell>
          <cell r="AA132">
            <v>1</v>
          </cell>
          <cell r="AB132">
            <v>0</v>
          </cell>
          <cell r="AC132">
            <v>0</v>
          </cell>
          <cell r="AD132">
            <v>1</v>
          </cell>
          <cell r="AE132">
            <v>1</v>
          </cell>
          <cell r="AF132">
            <v>0</v>
          </cell>
          <cell r="AG132">
            <v>1</v>
          </cell>
          <cell r="AH132">
            <v>0</v>
          </cell>
          <cell r="AI132">
            <v>0</v>
          </cell>
          <cell r="AJ132">
            <v>0</v>
          </cell>
          <cell r="AK132">
            <v>0</v>
          </cell>
          <cell r="AL132">
            <v>0</v>
          </cell>
          <cell r="AM132">
            <v>0</v>
          </cell>
          <cell r="AN132">
            <v>1</v>
          </cell>
          <cell r="AO132">
            <v>0</v>
          </cell>
          <cell r="AP132">
            <v>0</v>
          </cell>
          <cell r="AQ132">
            <v>1</v>
          </cell>
          <cell r="AR132">
            <v>0</v>
          </cell>
          <cell r="AS132">
            <v>0</v>
          </cell>
          <cell r="AT132">
            <v>0</v>
          </cell>
          <cell r="AU132">
            <v>0</v>
          </cell>
          <cell r="AV132">
            <v>0</v>
          </cell>
          <cell r="AW132">
            <v>0</v>
          </cell>
          <cell r="AX132">
            <v>0</v>
          </cell>
          <cell r="AY132">
            <v>0</v>
          </cell>
        </row>
        <row r="133">
          <cell r="A133">
            <v>132</v>
          </cell>
          <cell r="F133" t="str">
            <v>Bengaluru</v>
          </cell>
          <cell r="G133">
            <v>0</v>
          </cell>
          <cell r="H133">
            <v>5</v>
          </cell>
          <cell r="O133">
            <v>1</v>
          </cell>
          <cell r="P133">
            <v>1</v>
          </cell>
          <cell r="Q133">
            <v>1</v>
          </cell>
          <cell r="R133">
            <v>0</v>
          </cell>
          <cell r="S133">
            <v>0</v>
          </cell>
          <cell r="T133">
            <v>0</v>
          </cell>
          <cell r="U133">
            <v>0</v>
          </cell>
          <cell r="V133">
            <v>0</v>
          </cell>
          <cell r="W133">
            <v>0</v>
          </cell>
          <cell r="X133">
            <v>0</v>
          </cell>
          <cell r="Y133">
            <v>0</v>
          </cell>
          <cell r="Z133">
            <v>0</v>
          </cell>
          <cell r="AA133">
            <v>1</v>
          </cell>
          <cell r="AB133">
            <v>0</v>
          </cell>
          <cell r="AC133">
            <v>0</v>
          </cell>
          <cell r="AD133">
            <v>1</v>
          </cell>
          <cell r="AE133">
            <v>1</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1</v>
          </cell>
        </row>
        <row r="134">
          <cell r="A134">
            <v>133</v>
          </cell>
          <cell r="F134" t="str">
            <v>Mumbai</v>
          </cell>
          <cell r="G134">
            <v>0</v>
          </cell>
          <cell r="H134">
            <v>2</v>
          </cell>
          <cell r="O134">
            <v>1</v>
          </cell>
          <cell r="P134">
            <v>1</v>
          </cell>
          <cell r="Q134">
            <v>0</v>
          </cell>
          <cell r="R134">
            <v>0</v>
          </cell>
          <cell r="S134">
            <v>0</v>
          </cell>
          <cell r="T134">
            <v>0</v>
          </cell>
          <cell r="U134">
            <v>1</v>
          </cell>
          <cell r="V134">
            <v>1</v>
          </cell>
          <cell r="W134">
            <v>0</v>
          </cell>
          <cell r="X134">
            <v>0</v>
          </cell>
          <cell r="Y134">
            <v>0</v>
          </cell>
          <cell r="Z134">
            <v>0</v>
          </cell>
          <cell r="AA134">
            <v>0</v>
          </cell>
          <cell r="AB134">
            <v>0</v>
          </cell>
          <cell r="AC134">
            <v>0</v>
          </cell>
          <cell r="AD134">
            <v>1</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row>
        <row r="135">
          <cell r="A135">
            <v>134</v>
          </cell>
          <cell r="F135" t="str">
            <v>Pune</v>
          </cell>
          <cell r="G135">
            <v>0</v>
          </cell>
          <cell r="H135">
            <v>2</v>
          </cell>
          <cell r="O135">
            <v>0</v>
          </cell>
          <cell r="P135">
            <v>1</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1</v>
          </cell>
          <cell r="AE135">
            <v>0</v>
          </cell>
          <cell r="AF135">
            <v>0</v>
          </cell>
          <cell r="AG135">
            <v>0</v>
          </cell>
          <cell r="AH135">
            <v>0</v>
          </cell>
          <cell r="AI135">
            <v>0</v>
          </cell>
          <cell r="AJ135">
            <v>0</v>
          </cell>
          <cell r="AK135">
            <v>0</v>
          </cell>
          <cell r="AL135">
            <v>1</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row>
        <row r="136">
          <cell r="A136">
            <v>135</v>
          </cell>
          <cell r="F136" t="str">
            <v>Pune</v>
          </cell>
          <cell r="G136">
            <v>0</v>
          </cell>
          <cell r="H136">
            <v>2</v>
          </cell>
          <cell r="O136">
            <v>1</v>
          </cell>
          <cell r="P136">
            <v>1</v>
          </cell>
          <cell r="Q136">
            <v>0</v>
          </cell>
          <cell r="R136">
            <v>0</v>
          </cell>
          <cell r="S136">
            <v>0</v>
          </cell>
          <cell r="T136">
            <v>0</v>
          </cell>
          <cell r="U136">
            <v>0</v>
          </cell>
          <cell r="V136">
            <v>0</v>
          </cell>
          <cell r="W136">
            <v>0</v>
          </cell>
          <cell r="X136">
            <v>0</v>
          </cell>
          <cell r="Y136">
            <v>0</v>
          </cell>
          <cell r="Z136">
            <v>0</v>
          </cell>
          <cell r="AA136">
            <v>1</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row>
        <row r="137">
          <cell r="A137">
            <v>136</v>
          </cell>
          <cell r="F137" t="str">
            <v>Bengaluru</v>
          </cell>
          <cell r="G137">
            <v>0</v>
          </cell>
          <cell r="H137">
            <v>5</v>
          </cell>
          <cell r="O137">
            <v>1</v>
          </cell>
          <cell r="P137">
            <v>1</v>
          </cell>
          <cell r="Q137">
            <v>0</v>
          </cell>
          <cell r="R137">
            <v>0</v>
          </cell>
          <cell r="S137">
            <v>0</v>
          </cell>
          <cell r="T137">
            <v>0</v>
          </cell>
          <cell r="U137">
            <v>1</v>
          </cell>
          <cell r="V137">
            <v>0</v>
          </cell>
          <cell r="W137">
            <v>0</v>
          </cell>
          <cell r="X137">
            <v>0</v>
          </cell>
          <cell r="Y137">
            <v>0</v>
          </cell>
          <cell r="Z137">
            <v>0</v>
          </cell>
          <cell r="AA137">
            <v>0</v>
          </cell>
          <cell r="AB137">
            <v>0</v>
          </cell>
          <cell r="AC137">
            <v>0</v>
          </cell>
          <cell r="AD137">
            <v>1</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row>
        <row r="138">
          <cell r="A138">
            <v>137</v>
          </cell>
          <cell r="F138" t="str">
            <v>Gurgaon</v>
          </cell>
          <cell r="G138">
            <v>0</v>
          </cell>
          <cell r="H138">
            <v>5</v>
          </cell>
          <cell r="O138">
            <v>1</v>
          </cell>
          <cell r="P138">
            <v>0</v>
          </cell>
          <cell r="Q138">
            <v>0</v>
          </cell>
          <cell r="R138">
            <v>1</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1</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row>
        <row r="139">
          <cell r="A139">
            <v>138</v>
          </cell>
          <cell r="F139" t="str">
            <v>Gurgaon</v>
          </cell>
          <cell r="G139">
            <v>0</v>
          </cell>
          <cell r="H139">
            <v>2</v>
          </cell>
          <cell r="O139">
            <v>1</v>
          </cell>
          <cell r="P139">
            <v>1</v>
          </cell>
          <cell r="Q139">
            <v>1</v>
          </cell>
          <cell r="R139">
            <v>1</v>
          </cell>
          <cell r="S139">
            <v>0</v>
          </cell>
          <cell r="T139">
            <v>0</v>
          </cell>
          <cell r="U139">
            <v>1</v>
          </cell>
          <cell r="V139">
            <v>1</v>
          </cell>
          <cell r="W139">
            <v>1</v>
          </cell>
          <cell r="X139">
            <v>0</v>
          </cell>
          <cell r="Y139">
            <v>0</v>
          </cell>
          <cell r="Z139">
            <v>0</v>
          </cell>
          <cell r="AA139">
            <v>1</v>
          </cell>
          <cell r="AB139">
            <v>0</v>
          </cell>
          <cell r="AC139">
            <v>0</v>
          </cell>
          <cell r="AD139">
            <v>1</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row>
        <row r="140">
          <cell r="A140">
            <v>139</v>
          </cell>
          <cell r="F140" t="str">
            <v>Bengaluru</v>
          </cell>
          <cell r="G140">
            <v>0</v>
          </cell>
          <cell r="H140">
            <v>5</v>
          </cell>
          <cell r="O140">
            <v>1</v>
          </cell>
          <cell r="P140">
            <v>0</v>
          </cell>
          <cell r="Q140">
            <v>1</v>
          </cell>
          <cell r="R140">
            <v>1</v>
          </cell>
          <cell r="S140">
            <v>0</v>
          </cell>
          <cell r="T140">
            <v>0</v>
          </cell>
          <cell r="U140">
            <v>0</v>
          </cell>
          <cell r="V140">
            <v>0</v>
          </cell>
          <cell r="W140">
            <v>0</v>
          </cell>
          <cell r="X140">
            <v>0</v>
          </cell>
          <cell r="Y140">
            <v>0</v>
          </cell>
          <cell r="Z140">
            <v>0</v>
          </cell>
          <cell r="AA140">
            <v>0</v>
          </cell>
          <cell r="AB140">
            <v>0</v>
          </cell>
          <cell r="AC140">
            <v>1</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row>
        <row r="141">
          <cell r="A141">
            <v>140</v>
          </cell>
          <cell r="F141" t="str">
            <v>Noida</v>
          </cell>
          <cell r="G141">
            <v>0</v>
          </cell>
          <cell r="H141">
            <v>2</v>
          </cell>
          <cell r="O141">
            <v>0</v>
          </cell>
          <cell r="P141">
            <v>1</v>
          </cell>
          <cell r="Q141">
            <v>0</v>
          </cell>
          <cell r="R141">
            <v>0</v>
          </cell>
          <cell r="S141">
            <v>0</v>
          </cell>
          <cell r="T141">
            <v>0</v>
          </cell>
          <cell r="U141">
            <v>1</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1</v>
          </cell>
          <cell r="AK141">
            <v>0</v>
          </cell>
          <cell r="AL141">
            <v>1</v>
          </cell>
          <cell r="AM141">
            <v>0</v>
          </cell>
          <cell r="AN141">
            <v>0</v>
          </cell>
          <cell r="AO141">
            <v>0</v>
          </cell>
          <cell r="AP141">
            <v>1</v>
          </cell>
          <cell r="AQ141">
            <v>0</v>
          </cell>
          <cell r="AR141">
            <v>0</v>
          </cell>
          <cell r="AS141">
            <v>0</v>
          </cell>
          <cell r="AT141">
            <v>0</v>
          </cell>
          <cell r="AU141">
            <v>0</v>
          </cell>
          <cell r="AV141">
            <v>0</v>
          </cell>
          <cell r="AW141">
            <v>0</v>
          </cell>
          <cell r="AX141">
            <v>0</v>
          </cell>
          <cell r="AY141">
            <v>0</v>
          </cell>
        </row>
        <row r="142">
          <cell r="A142">
            <v>141</v>
          </cell>
          <cell r="F142" t="str">
            <v>Bengaluru</v>
          </cell>
          <cell r="G142">
            <v>3</v>
          </cell>
          <cell r="H142">
            <v>7</v>
          </cell>
          <cell r="O142">
            <v>1</v>
          </cell>
          <cell r="P142">
            <v>0</v>
          </cell>
          <cell r="Q142">
            <v>0</v>
          </cell>
          <cell r="R142">
            <v>0</v>
          </cell>
          <cell r="S142">
            <v>0</v>
          </cell>
          <cell r="T142">
            <v>0</v>
          </cell>
          <cell r="U142">
            <v>1</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1</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row>
        <row r="143">
          <cell r="A143">
            <v>142</v>
          </cell>
          <cell r="F143" t="str">
            <v>Hyderabad</v>
          </cell>
          <cell r="G143">
            <v>5</v>
          </cell>
          <cell r="H143">
            <v>12</v>
          </cell>
          <cell r="O143">
            <v>1</v>
          </cell>
          <cell r="P143">
            <v>0</v>
          </cell>
          <cell r="Q143">
            <v>0</v>
          </cell>
          <cell r="R143">
            <v>0</v>
          </cell>
          <cell r="S143">
            <v>0</v>
          </cell>
          <cell r="T143">
            <v>0</v>
          </cell>
          <cell r="U143">
            <v>0</v>
          </cell>
          <cell r="V143">
            <v>1</v>
          </cell>
          <cell r="W143">
            <v>1</v>
          </cell>
          <cell r="X143">
            <v>1</v>
          </cell>
          <cell r="Y143">
            <v>0</v>
          </cell>
          <cell r="Z143">
            <v>0</v>
          </cell>
          <cell r="AA143">
            <v>1</v>
          </cell>
          <cell r="AB143">
            <v>1</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row>
        <row r="144">
          <cell r="A144">
            <v>143</v>
          </cell>
          <cell r="F144" t="str">
            <v>Hyderabad</v>
          </cell>
          <cell r="G144">
            <v>8</v>
          </cell>
          <cell r="H144">
            <v>10</v>
          </cell>
          <cell r="O144">
            <v>1</v>
          </cell>
          <cell r="P144">
            <v>1</v>
          </cell>
          <cell r="Q144">
            <v>1</v>
          </cell>
          <cell r="R144">
            <v>0</v>
          </cell>
          <cell r="S144">
            <v>0</v>
          </cell>
          <cell r="T144">
            <v>0</v>
          </cell>
          <cell r="U144">
            <v>1</v>
          </cell>
          <cell r="V144">
            <v>0</v>
          </cell>
          <cell r="W144">
            <v>0</v>
          </cell>
          <cell r="X144">
            <v>0</v>
          </cell>
          <cell r="Y144">
            <v>0</v>
          </cell>
          <cell r="Z144">
            <v>0</v>
          </cell>
          <cell r="AA144">
            <v>0</v>
          </cell>
          <cell r="AB144">
            <v>0</v>
          </cell>
          <cell r="AC144">
            <v>1</v>
          </cell>
          <cell r="AD144">
            <v>0</v>
          </cell>
          <cell r="AE144">
            <v>0</v>
          </cell>
          <cell r="AF144">
            <v>0</v>
          </cell>
          <cell r="AG144">
            <v>1</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row>
        <row r="145">
          <cell r="A145">
            <v>144</v>
          </cell>
          <cell r="F145" t="str">
            <v>Hyderabad</v>
          </cell>
          <cell r="G145">
            <v>8</v>
          </cell>
          <cell r="H145">
            <v>11</v>
          </cell>
          <cell r="O145">
            <v>1</v>
          </cell>
          <cell r="P145">
            <v>1</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1</v>
          </cell>
          <cell r="AE145">
            <v>0</v>
          </cell>
          <cell r="AF145">
            <v>0</v>
          </cell>
          <cell r="AG145">
            <v>1</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row>
        <row r="146">
          <cell r="A146">
            <v>145</v>
          </cell>
          <cell r="F146" t="str">
            <v>Bengaluru</v>
          </cell>
          <cell r="G146">
            <v>7</v>
          </cell>
          <cell r="H146">
            <v>12</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1</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row>
        <row r="147">
          <cell r="A147">
            <v>146</v>
          </cell>
          <cell r="F147" t="str">
            <v>Bengaluru</v>
          </cell>
          <cell r="G147">
            <v>5</v>
          </cell>
          <cell r="H147">
            <v>7</v>
          </cell>
          <cell r="O147">
            <v>1</v>
          </cell>
          <cell r="P147">
            <v>1</v>
          </cell>
          <cell r="Q147">
            <v>1</v>
          </cell>
          <cell r="R147">
            <v>1</v>
          </cell>
          <cell r="S147">
            <v>0</v>
          </cell>
          <cell r="T147">
            <v>0</v>
          </cell>
          <cell r="U147">
            <v>1</v>
          </cell>
          <cell r="V147">
            <v>0</v>
          </cell>
          <cell r="W147">
            <v>0</v>
          </cell>
          <cell r="X147">
            <v>0</v>
          </cell>
          <cell r="Y147">
            <v>0</v>
          </cell>
          <cell r="Z147">
            <v>0</v>
          </cell>
          <cell r="AA147">
            <v>0</v>
          </cell>
          <cell r="AB147">
            <v>0</v>
          </cell>
          <cell r="AC147">
            <v>1</v>
          </cell>
          <cell r="AD147">
            <v>0</v>
          </cell>
          <cell r="AE147">
            <v>0</v>
          </cell>
          <cell r="AF147">
            <v>0</v>
          </cell>
          <cell r="AG147">
            <v>0</v>
          </cell>
          <cell r="AH147">
            <v>0</v>
          </cell>
          <cell r="AI147">
            <v>0</v>
          </cell>
          <cell r="AJ147">
            <v>1</v>
          </cell>
          <cell r="AK147">
            <v>0</v>
          </cell>
          <cell r="AL147">
            <v>1</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row>
        <row r="148">
          <cell r="A148">
            <v>147</v>
          </cell>
          <cell r="F148" t="str">
            <v>Gurgaon</v>
          </cell>
          <cell r="G148">
            <v>10</v>
          </cell>
          <cell r="H148">
            <v>12</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1</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row>
        <row r="149">
          <cell r="A149">
            <v>148</v>
          </cell>
          <cell r="F149" t="str">
            <v>Chennai</v>
          </cell>
          <cell r="G149">
            <v>2</v>
          </cell>
          <cell r="H149">
            <v>5</v>
          </cell>
          <cell r="O149">
            <v>1</v>
          </cell>
          <cell r="P149">
            <v>0</v>
          </cell>
          <cell r="Q149">
            <v>0</v>
          </cell>
          <cell r="R149">
            <v>0</v>
          </cell>
          <cell r="S149">
            <v>0</v>
          </cell>
          <cell r="T149">
            <v>0</v>
          </cell>
          <cell r="U149">
            <v>0</v>
          </cell>
          <cell r="V149">
            <v>0</v>
          </cell>
          <cell r="W149">
            <v>1</v>
          </cell>
          <cell r="X149">
            <v>0</v>
          </cell>
          <cell r="Y149">
            <v>0</v>
          </cell>
          <cell r="Z149">
            <v>0</v>
          </cell>
          <cell r="AA149">
            <v>1</v>
          </cell>
          <cell r="AB149">
            <v>1</v>
          </cell>
          <cell r="AC149">
            <v>1</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row>
        <row r="150">
          <cell r="A150">
            <v>149</v>
          </cell>
          <cell r="F150" t="str">
            <v>Hyderabad</v>
          </cell>
          <cell r="G150">
            <v>4</v>
          </cell>
          <cell r="H150">
            <v>6</v>
          </cell>
          <cell r="O150">
            <v>1</v>
          </cell>
          <cell r="P150">
            <v>1</v>
          </cell>
          <cell r="Q150">
            <v>0</v>
          </cell>
          <cell r="R150">
            <v>0</v>
          </cell>
          <cell r="S150">
            <v>0</v>
          </cell>
          <cell r="T150">
            <v>0</v>
          </cell>
          <cell r="U150">
            <v>0</v>
          </cell>
          <cell r="V150">
            <v>0</v>
          </cell>
          <cell r="W150">
            <v>0</v>
          </cell>
          <cell r="X150">
            <v>0</v>
          </cell>
          <cell r="Y150">
            <v>0</v>
          </cell>
          <cell r="Z150">
            <v>0</v>
          </cell>
          <cell r="AA150">
            <v>0</v>
          </cell>
          <cell r="AB150">
            <v>0</v>
          </cell>
          <cell r="AC150">
            <v>1</v>
          </cell>
          <cell r="AD150">
            <v>1</v>
          </cell>
          <cell r="AE150">
            <v>0</v>
          </cell>
          <cell r="AF150">
            <v>0</v>
          </cell>
          <cell r="AG150">
            <v>0</v>
          </cell>
          <cell r="AH150">
            <v>0</v>
          </cell>
          <cell r="AI150">
            <v>1</v>
          </cell>
          <cell r="AJ150">
            <v>0</v>
          </cell>
          <cell r="AK150">
            <v>0</v>
          </cell>
          <cell r="AL150">
            <v>0</v>
          </cell>
          <cell r="AM150">
            <v>0</v>
          </cell>
          <cell r="AN150">
            <v>0</v>
          </cell>
          <cell r="AO150">
            <v>0</v>
          </cell>
          <cell r="AP150">
            <v>0</v>
          </cell>
          <cell r="AQ150">
            <v>0</v>
          </cell>
          <cell r="AR150">
            <v>1</v>
          </cell>
          <cell r="AS150">
            <v>0</v>
          </cell>
          <cell r="AT150">
            <v>0</v>
          </cell>
          <cell r="AU150">
            <v>0</v>
          </cell>
          <cell r="AV150">
            <v>0</v>
          </cell>
          <cell r="AW150">
            <v>0</v>
          </cell>
          <cell r="AX150">
            <v>0</v>
          </cell>
          <cell r="AY150">
            <v>0</v>
          </cell>
        </row>
        <row r="151">
          <cell r="A151">
            <v>150</v>
          </cell>
          <cell r="F151" t="str">
            <v>Gurgaon</v>
          </cell>
          <cell r="G151">
            <v>8</v>
          </cell>
          <cell r="H151">
            <v>10</v>
          </cell>
          <cell r="O151">
            <v>1</v>
          </cell>
          <cell r="P151">
            <v>1</v>
          </cell>
          <cell r="Q151">
            <v>0</v>
          </cell>
          <cell r="R151">
            <v>1</v>
          </cell>
          <cell r="S151">
            <v>1</v>
          </cell>
          <cell r="T151">
            <v>0</v>
          </cell>
          <cell r="U151">
            <v>0</v>
          </cell>
          <cell r="V151">
            <v>0</v>
          </cell>
          <cell r="W151">
            <v>0</v>
          </cell>
          <cell r="X151">
            <v>0</v>
          </cell>
          <cell r="Y151">
            <v>0</v>
          </cell>
          <cell r="Z151">
            <v>0</v>
          </cell>
          <cell r="AA151">
            <v>1</v>
          </cell>
          <cell r="AB151">
            <v>0</v>
          </cell>
          <cell r="AC151">
            <v>1</v>
          </cell>
          <cell r="AD151">
            <v>0</v>
          </cell>
          <cell r="AE151">
            <v>0</v>
          </cell>
          <cell r="AF151">
            <v>1</v>
          </cell>
          <cell r="AG151">
            <v>0</v>
          </cell>
          <cell r="AH151">
            <v>0</v>
          </cell>
          <cell r="AI151">
            <v>0</v>
          </cell>
          <cell r="AJ151">
            <v>0</v>
          </cell>
          <cell r="AK151">
            <v>0</v>
          </cell>
          <cell r="AL151">
            <v>0</v>
          </cell>
          <cell r="AM151">
            <v>0</v>
          </cell>
          <cell r="AN151">
            <v>0</v>
          </cell>
          <cell r="AO151">
            <v>0</v>
          </cell>
          <cell r="AP151">
            <v>0</v>
          </cell>
          <cell r="AQ151">
            <v>1</v>
          </cell>
          <cell r="AR151">
            <v>0</v>
          </cell>
          <cell r="AS151">
            <v>0</v>
          </cell>
          <cell r="AT151">
            <v>0</v>
          </cell>
          <cell r="AU151">
            <v>0</v>
          </cell>
          <cell r="AV151">
            <v>0</v>
          </cell>
          <cell r="AW151">
            <v>0</v>
          </cell>
          <cell r="AX151">
            <v>0</v>
          </cell>
          <cell r="AY151">
            <v>0</v>
          </cell>
        </row>
        <row r="152">
          <cell r="A152">
            <v>151</v>
          </cell>
          <cell r="F152" t="str">
            <v>Chennai</v>
          </cell>
          <cell r="G152">
            <v>9</v>
          </cell>
          <cell r="H152">
            <v>12</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1</v>
          </cell>
          <cell r="AU152">
            <v>0</v>
          </cell>
          <cell r="AV152">
            <v>0</v>
          </cell>
          <cell r="AW152">
            <v>0</v>
          </cell>
          <cell r="AX152">
            <v>0</v>
          </cell>
          <cell r="AY152">
            <v>0</v>
          </cell>
        </row>
        <row r="153">
          <cell r="A153">
            <v>152</v>
          </cell>
          <cell r="F153" t="str">
            <v>Bengaluru</v>
          </cell>
          <cell r="G153">
            <v>4</v>
          </cell>
          <cell r="H153">
            <v>6</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1</v>
          </cell>
          <cell r="AS153">
            <v>0</v>
          </cell>
          <cell r="AT153">
            <v>0</v>
          </cell>
          <cell r="AU153">
            <v>0</v>
          </cell>
          <cell r="AV153">
            <v>0</v>
          </cell>
          <cell r="AW153">
            <v>0</v>
          </cell>
          <cell r="AX153">
            <v>0</v>
          </cell>
          <cell r="AY153">
            <v>0</v>
          </cell>
        </row>
        <row r="154">
          <cell r="A154">
            <v>153</v>
          </cell>
          <cell r="F154" t="str">
            <v>Bengaluru</v>
          </cell>
          <cell r="G154">
            <v>5</v>
          </cell>
          <cell r="H154">
            <v>7</v>
          </cell>
          <cell r="O154">
            <v>1</v>
          </cell>
          <cell r="P154">
            <v>1</v>
          </cell>
          <cell r="Q154">
            <v>0</v>
          </cell>
          <cell r="R154">
            <v>0</v>
          </cell>
          <cell r="S154">
            <v>0</v>
          </cell>
          <cell r="T154">
            <v>0</v>
          </cell>
          <cell r="U154">
            <v>0</v>
          </cell>
          <cell r="V154">
            <v>0</v>
          </cell>
          <cell r="W154">
            <v>0</v>
          </cell>
          <cell r="X154">
            <v>0</v>
          </cell>
          <cell r="Y154">
            <v>0</v>
          </cell>
          <cell r="Z154">
            <v>0</v>
          </cell>
          <cell r="AA154">
            <v>1</v>
          </cell>
          <cell r="AB154">
            <v>0</v>
          </cell>
          <cell r="AC154">
            <v>1</v>
          </cell>
          <cell r="AD154">
            <v>1</v>
          </cell>
          <cell r="AE154">
            <v>1</v>
          </cell>
          <cell r="AF154">
            <v>0</v>
          </cell>
          <cell r="AG154">
            <v>0</v>
          </cell>
          <cell r="AH154">
            <v>0</v>
          </cell>
          <cell r="AI154">
            <v>0</v>
          </cell>
          <cell r="AJ154">
            <v>0</v>
          </cell>
          <cell r="AK154">
            <v>0</v>
          </cell>
          <cell r="AL154">
            <v>0</v>
          </cell>
          <cell r="AM154">
            <v>0</v>
          </cell>
          <cell r="AN154">
            <v>0</v>
          </cell>
          <cell r="AO154">
            <v>0</v>
          </cell>
          <cell r="AP154">
            <v>0</v>
          </cell>
          <cell r="AQ154">
            <v>1</v>
          </cell>
          <cell r="AR154">
            <v>0</v>
          </cell>
          <cell r="AS154">
            <v>0</v>
          </cell>
          <cell r="AT154">
            <v>0</v>
          </cell>
          <cell r="AU154">
            <v>0</v>
          </cell>
          <cell r="AV154">
            <v>0</v>
          </cell>
          <cell r="AW154">
            <v>0</v>
          </cell>
          <cell r="AX154">
            <v>0</v>
          </cell>
          <cell r="AY154">
            <v>0</v>
          </cell>
        </row>
        <row r="155">
          <cell r="A155">
            <v>154</v>
          </cell>
          <cell r="F155" t="str">
            <v>Pune</v>
          </cell>
          <cell r="G155">
            <v>0</v>
          </cell>
          <cell r="H155">
            <v>2</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1</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row>
        <row r="156">
          <cell r="A156">
            <v>155</v>
          </cell>
          <cell r="F156" t="str">
            <v>Chennai</v>
          </cell>
          <cell r="G156">
            <v>0</v>
          </cell>
          <cell r="H156">
            <v>2</v>
          </cell>
          <cell r="O156">
            <v>1</v>
          </cell>
          <cell r="P156">
            <v>0</v>
          </cell>
          <cell r="Q156">
            <v>1</v>
          </cell>
          <cell r="R156">
            <v>0</v>
          </cell>
          <cell r="S156">
            <v>0</v>
          </cell>
          <cell r="T156">
            <v>0</v>
          </cell>
          <cell r="U156">
            <v>0</v>
          </cell>
          <cell r="V156">
            <v>0</v>
          </cell>
          <cell r="W156">
            <v>0</v>
          </cell>
          <cell r="X156">
            <v>0</v>
          </cell>
          <cell r="Y156">
            <v>0</v>
          </cell>
          <cell r="Z156">
            <v>0</v>
          </cell>
          <cell r="AA156">
            <v>0</v>
          </cell>
          <cell r="AB156">
            <v>0</v>
          </cell>
          <cell r="AC156">
            <v>0</v>
          </cell>
          <cell r="AD156">
            <v>1</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row>
        <row r="157">
          <cell r="A157">
            <v>156</v>
          </cell>
          <cell r="F157" t="str">
            <v>Bengaluru</v>
          </cell>
          <cell r="G157">
            <v>0</v>
          </cell>
          <cell r="H157">
            <v>2</v>
          </cell>
          <cell r="O157">
            <v>1</v>
          </cell>
          <cell r="P157">
            <v>0</v>
          </cell>
          <cell r="Q157">
            <v>1</v>
          </cell>
          <cell r="R157">
            <v>0</v>
          </cell>
          <cell r="S157">
            <v>0</v>
          </cell>
          <cell r="T157">
            <v>0</v>
          </cell>
          <cell r="U157">
            <v>0</v>
          </cell>
          <cell r="V157">
            <v>0</v>
          </cell>
          <cell r="W157">
            <v>0</v>
          </cell>
          <cell r="X157">
            <v>0</v>
          </cell>
          <cell r="Y157">
            <v>0</v>
          </cell>
          <cell r="Z157">
            <v>0</v>
          </cell>
          <cell r="AA157">
            <v>1</v>
          </cell>
          <cell r="AB157">
            <v>0</v>
          </cell>
          <cell r="AC157">
            <v>0</v>
          </cell>
          <cell r="AD157">
            <v>1</v>
          </cell>
          <cell r="AE157">
            <v>0</v>
          </cell>
          <cell r="AF157">
            <v>0</v>
          </cell>
          <cell r="AG157">
            <v>0</v>
          </cell>
          <cell r="AH157">
            <v>0</v>
          </cell>
          <cell r="AI157">
            <v>0</v>
          </cell>
          <cell r="AJ157">
            <v>0</v>
          </cell>
          <cell r="AK157">
            <v>0</v>
          </cell>
          <cell r="AL157">
            <v>1</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row>
        <row r="158">
          <cell r="A158">
            <v>157</v>
          </cell>
          <cell r="F158" t="str">
            <v>Pune</v>
          </cell>
          <cell r="G158">
            <v>0</v>
          </cell>
          <cell r="H158">
            <v>2</v>
          </cell>
          <cell r="O158">
            <v>1</v>
          </cell>
          <cell r="P158">
            <v>0</v>
          </cell>
          <cell r="Q158">
            <v>0</v>
          </cell>
          <cell r="R158">
            <v>0</v>
          </cell>
          <cell r="S158">
            <v>0</v>
          </cell>
          <cell r="T158">
            <v>0</v>
          </cell>
          <cell r="U158">
            <v>0</v>
          </cell>
          <cell r="V158">
            <v>0</v>
          </cell>
          <cell r="W158">
            <v>0</v>
          </cell>
          <cell r="X158">
            <v>0</v>
          </cell>
          <cell r="Y158">
            <v>0</v>
          </cell>
          <cell r="Z158">
            <v>0</v>
          </cell>
          <cell r="AA158">
            <v>1</v>
          </cell>
          <cell r="AB158">
            <v>0</v>
          </cell>
          <cell r="AC158">
            <v>0</v>
          </cell>
          <cell r="AD158">
            <v>1</v>
          </cell>
          <cell r="AE158">
            <v>1</v>
          </cell>
          <cell r="AF158">
            <v>0</v>
          </cell>
          <cell r="AG158">
            <v>0</v>
          </cell>
          <cell r="AH158">
            <v>0</v>
          </cell>
          <cell r="AI158">
            <v>0</v>
          </cell>
          <cell r="AJ158">
            <v>0</v>
          </cell>
          <cell r="AK158">
            <v>0</v>
          </cell>
          <cell r="AL158">
            <v>0</v>
          </cell>
          <cell r="AM158">
            <v>0</v>
          </cell>
          <cell r="AN158">
            <v>0</v>
          </cell>
          <cell r="AO158">
            <v>0</v>
          </cell>
          <cell r="AP158">
            <v>1</v>
          </cell>
          <cell r="AQ158">
            <v>0</v>
          </cell>
          <cell r="AR158">
            <v>0</v>
          </cell>
          <cell r="AS158">
            <v>0</v>
          </cell>
          <cell r="AT158">
            <v>0</v>
          </cell>
          <cell r="AU158">
            <v>0</v>
          </cell>
          <cell r="AV158">
            <v>0</v>
          </cell>
          <cell r="AW158">
            <v>0</v>
          </cell>
          <cell r="AX158">
            <v>0</v>
          </cell>
          <cell r="AY158">
            <v>0</v>
          </cell>
        </row>
        <row r="159">
          <cell r="A159">
            <v>158</v>
          </cell>
          <cell r="F159" t="str">
            <v>Pune</v>
          </cell>
          <cell r="G159">
            <v>0</v>
          </cell>
          <cell r="H159">
            <v>2</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1</v>
          </cell>
          <cell r="AI159">
            <v>1</v>
          </cell>
          <cell r="AJ159">
            <v>0</v>
          </cell>
          <cell r="AK159">
            <v>0</v>
          </cell>
          <cell r="AL159">
            <v>0</v>
          </cell>
          <cell r="AM159">
            <v>0</v>
          </cell>
          <cell r="AN159">
            <v>0</v>
          </cell>
          <cell r="AO159">
            <v>0</v>
          </cell>
          <cell r="AP159">
            <v>0</v>
          </cell>
          <cell r="AQ159">
            <v>0</v>
          </cell>
          <cell r="AR159">
            <v>0</v>
          </cell>
          <cell r="AS159">
            <v>0</v>
          </cell>
          <cell r="AT159">
            <v>1</v>
          </cell>
          <cell r="AU159">
            <v>0</v>
          </cell>
          <cell r="AV159">
            <v>0</v>
          </cell>
          <cell r="AW159">
            <v>0</v>
          </cell>
          <cell r="AX159">
            <v>0</v>
          </cell>
          <cell r="AY159">
            <v>0</v>
          </cell>
        </row>
        <row r="160">
          <cell r="A160">
            <v>159</v>
          </cell>
          <cell r="F160" t="str">
            <v>Delhi</v>
          </cell>
          <cell r="G160">
            <v>0</v>
          </cell>
          <cell r="H160">
            <v>2</v>
          </cell>
          <cell r="O160">
            <v>1</v>
          </cell>
          <cell r="P160">
            <v>0</v>
          </cell>
          <cell r="Q160">
            <v>0</v>
          </cell>
          <cell r="R160">
            <v>0</v>
          </cell>
          <cell r="S160">
            <v>0</v>
          </cell>
          <cell r="T160">
            <v>0</v>
          </cell>
          <cell r="U160">
            <v>1</v>
          </cell>
          <cell r="V160">
            <v>0</v>
          </cell>
          <cell r="W160">
            <v>1</v>
          </cell>
          <cell r="X160">
            <v>0</v>
          </cell>
          <cell r="Y160">
            <v>0</v>
          </cell>
          <cell r="Z160">
            <v>0</v>
          </cell>
          <cell r="AA160">
            <v>1</v>
          </cell>
          <cell r="AB160">
            <v>1</v>
          </cell>
          <cell r="AC160">
            <v>1</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row>
        <row r="161">
          <cell r="A161">
            <v>160</v>
          </cell>
          <cell r="F161" t="str">
            <v>Bengaluru</v>
          </cell>
          <cell r="G161">
            <v>0</v>
          </cell>
          <cell r="H161">
            <v>2</v>
          </cell>
          <cell r="O161">
            <v>0</v>
          </cell>
          <cell r="P161">
            <v>0</v>
          </cell>
          <cell r="Q161">
            <v>0</v>
          </cell>
          <cell r="R161">
            <v>0</v>
          </cell>
          <cell r="S161">
            <v>0</v>
          </cell>
          <cell r="T161">
            <v>0</v>
          </cell>
          <cell r="U161">
            <v>0</v>
          </cell>
          <cell r="V161">
            <v>0</v>
          </cell>
          <cell r="W161">
            <v>0</v>
          </cell>
          <cell r="X161">
            <v>0</v>
          </cell>
          <cell r="Y161">
            <v>0</v>
          </cell>
          <cell r="Z161">
            <v>0</v>
          </cell>
          <cell r="AA161">
            <v>1</v>
          </cell>
          <cell r="AB161">
            <v>0</v>
          </cell>
          <cell r="AC161">
            <v>1</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row>
        <row r="162">
          <cell r="A162">
            <v>161</v>
          </cell>
          <cell r="F162" t="str">
            <v>Gurgaon</v>
          </cell>
          <cell r="G162">
            <v>0</v>
          </cell>
          <cell r="H162">
            <v>2</v>
          </cell>
          <cell r="O162">
            <v>1</v>
          </cell>
          <cell r="P162">
            <v>0</v>
          </cell>
          <cell r="Q162">
            <v>0</v>
          </cell>
          <cell r="R162">
            <v>0</v>
          </cell>
          <cell r="S162">
            <v>0</v>
          </cell>
          <cell r="T162">
            <v>0</v>
          </cell>
          <cell r="U162">
            <v>0</v>
          </cell>
          <cell r="V162">
            <v>0</v>
          </cell>
          <cell r="W162">
            <v>1</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1</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row>
        <row r="163">
          <cell r="A163">
            <v>162</v>
          </cell>
          <cell r="F163" t="str">
            <v>Hyderabad</v>
          </cell>
          <cell r="G163">
            <v>0</v>
          </cell>
          <cell r="H163">
            <v>2</v>
          </cell>
          <cell r="O163">
            <v>0</v>
          </cell>
          <cell r="P163">
            <v>1</v>
          </cell>
          <cell r="Q163">
            <v>0</v>
          </cell>
          <cell r="R163">
            <v>0</v>
          </cell>
          <cell r="S163">
            <v>0</v>
          </cell>
          <cell r="T163">
            <v>0</v>
          </cell>
          <cell r="U163">
            <v>1</v>
          </cell>
          <cell r="V163">
            <v>0</v>
          </cell>
          <cell r="W163">
            <v>0</v>
          </cell>
          <cell r="X163">
            <v>0</v>
          </cell>
          <cell r="Y163">
            <v>0</v>
          </cell>
          <cell r="Z163">
            <v>0</v>
          </cell>
          <cell r="AA163">
            <v>0</v>
          </cell>
          <cell r="AB163">
            <v>0</v>
          </cell>
          <cell r="AC163">
            <v>1</v>
          </cell>
          <cell r="AD163">
            <v>0</v>
          </cell>
          <cell r="AE163">
            <v>0</v>
          </cell>
          <cell r="AF163">
            <v>0</v>
          </cell>
          <cell r="AG163">
            <v>1</v>
          </cell>
          <cell r="AH163">
            <v>0</v>
          </cell>
          <cell r="AI163">
            <v>0</v>
          </cell>
          <cell r="AJ163">
            <v>1</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row>
        <row r="164">
          <cell r="A164">
            <v>163</v>
          </cell>
          <cell r="F164" t="str">
            <v>Mumbai</v>
          </cell>
          <cell r="G164">
            <v>0</v>
          </cell>
          <cell r="H164">
            <v>2</v>
          </cell>
          <cell r="O164">
            <v>1</v>
          </cell>
          <cell r="P164">
            <v>0</v>
          </cell>
          <cell r="Q164">
            <v>1</v>
          </cell>
          <cell r="R164">
            <v>0</v>
          </cell>
          <cell r="S164">
            <v>0</v>
          </cell>
          <cell r="T164">
            <v>0</v>
          </cell>
          <cell r="U164">
            <v>1</v>
          </cell>
          <cell r="V164">
            <v>0</v>
          </cell>
          <cell r="W164">
            <v>0</v>
          </cell>
          <cell r="X164">
            <v>0</v>
          </cell>
          <cell r="Y164">
            <v>0</v>
          </cell>
          <cell r="Z164">
            <v>0</v>
          </cell>
          <cell r="AA164">
            <v>0</v>
          </cell>
          <cell r="AB164">
            <v>0</v>
          </cell>
          <cell r="AC164">
            <v>0</v>
          </cell>
          <cell r="AD164">
            <v>0</v>
          </cell>
          <cell r="AE164">
            <v>1</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row>
        <row r="165">
          <cell r="A165">
            <v>164</v>
          </cell>
          <cell r="F165" t="str">
            <v>Pune</v>
          </cell>
          <cell r="G165">
            <v>0</v>
          </cell>
          <cell r="H165">
            <v>2</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row>
        <row r="166">
          <cell r="A166">
            <v>165</v>
          </cell>
          <cell r="F166" t="str">
            <v>Noida</v>
          </cell>
          <cell r="G166">
            <v>0</v>
          </cell>
          <cell r="H166">
            <v>2</v>
          </cell>
          <cell r="O166">
            <v>1</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1</v>
          </cell>
          <cell r="AD166">
            <v>0</v>
          </cell>
          <cell r="AE166">
            <v>0</v>
          </cell>
          <cell r="AF166">
            <v>0</v>
          </cell>
          <cell r="AG166">
            <v>1</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row>
        <row r="167">
          <cell r="A167">
            <v>166</v>
          </cell>
          <cell r="F167" t="str">
            <v>Mumbai</v>
          </cell>
          <cell r="G167">
            <v>3</v>
          </cell>
          <cell r="H167">
            <v>6</v>
          </cell>
          <cell r="O167">
            <v>1</v>
          </cell>
          <cell r="P167">
            <v>1</v>
          </cell>
          <cell r="Q167">
            <v>0</v>
          </cell>
          <cell r="R167">
            <v>0</v>
          </cell>
          <cell r="S167">
            <v>0</v>
          </cell>
          <cell r="T167">
            <v>0</v>
          </cell>
          <cell r="U167">
            <v>0</v>
          </cell>
          <cell r="V167">
            <v>1</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row>
        <row r="168">
          <cell r="A168">
            <v>167</v>
          </cell>
          <cell r="F168" t="str">
            <v>Hyderabad</v>
          </cell>
          <cell r="G168">
            <v>7</v>
          </cell>
          <cell r="H168">
            <v>9</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row>
        <row r="169">
          <cell r="A169">
            <v>168</v>
          </cell>
          <cell r="F169" t="str">
            <v>Chennai</v>
          </cell>
          <cell r="G169">
            <v>2</v>
          </cell>
          <cell r="H169">
            <v>4</v>
          </cell>
          <cell r="O169">
            <v>0</v>
          </cell>
          <cell r="P169">
            <v>0</v>
          </cell>
          <cell r="Q169">
            <v>1</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row>
        <row r="170">
          <cell r="A170">
            <v>169</v>
          </cell>
          <cell r="F170" t="str">
            <v>Gurgaon</v>
          </cell>
          <cell r="G170">
            <v>4</v>
          </cell>
          <cell r="H170">
            <v>6</v>
          </cell>
          <cell r="O170">
            <v>1</v>
          </cell>
          <cell r="P170">
            <v>1</v>
          </cell>
          <cell r="Q170">
            <v>0</v>
          </cell>
          <cell r="R170">
            <v>0</v>
          </cell>
          <cell r="S170">
            <v>0</v>
          </cell>
          <cell r="T170">
            <v>0</v>
          </cell>
          <cell r="U170">
            <v>0</v>
          </cell>
          <cell r="V170">
            <v>0</v>
          </cell>
          <cell r="W170">
            <v>0</v>
          </cell>
          <cell r="X170">
            <v>0</v>
          </cell>
          <cell r="Y170">
            <v>0</v>
          </cell>
          <cell r="Z170">
            <v>0</v>
          </cell>
          <cell r="AA170">
            <v>0</v>
          </cell>
          <cell r="AB170">
            <v>0</v>
          </cell>
          <cell r="AC170">
            <v>1</v>
          </cell>
          <cell r="AD170">
            <v>1</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row>
        <row r="171">
          <cell r="A171">
            <v>170</v>
          </cell>
          <cell r="F171" t="str">
            <v>Bengaluru</v>
          </cell>
          <cell r="G171">
            <v>6</v>
          </cell>
          <cell r="H171">
            <v>10</v>
          </cell>
          <cell r="O171">
            <v>1</v>
          </cell>
          <cell r="P171">
            <v>1</v>
          </cell>
          <cell r="Q171">
            <v>0</v>
          </cell>
          <cell r="R171">
            <v>0</v>
          </cell>
          <cell r="S171">
            <v>0</v>
          </cell>
          <cell r="T171">
            <v>0</v>
          </cell>
          <cell r="U171">
            <v>1</v>
          </cell>
          <cell r="V171">
            <v>1</v>
          </cell>
          <cell r="W171">
            <v>0</v>
          </cell>
          <cell r="X171">
            <v>0</v>
          </cell>
          <cell r="Y171">
            <v>0</v>
          </cell>
          <cell r="Z171">
            <v>0</v>
          </cell>
          <cell r="AA171">
            <v>0</v>
          </cell>
          <cell r="AB171">
            <v>0</v>
          </cell>
          <cell r="AC171">
            <v>1</v>
          </cell>
          <cell r="AD171">
            <v>1</v>
          </cell>
          <cell r="AE171">
            <v>0</v>
          </cell>
          <cell r="AF171">
            <v>0</v>
          </cell>
          <cell r="AG171">
            <v>1</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row>
        <row r="172">
          <cell r="A172">
            <v>171</v>
          </cell>
          <cell r="F172" t="str">
            <v>Bengaluru</v>
          </cell>
          <cell r="G172">
            <v>8</v>
          </cell>
          <cell r="H172">
            <v>10</v>
          </cell>
          <cell r="O172">
            <v>0</v>
          </cell>
          <cell r="P172">
            <v>0</v>
          </cell>
          <cell r="Q172">
            <v>1</v>
          </cell>
          <cell r="R172">
            <v>0</v>
          </cell>
          <cell r="S172">
            <v>0</v>
          </cell>
          <cell r="T172">
            <v>0</v>
          </cell>
          <cell r="U172">
            <v>0</v>
          </cell>
          <cell r="V172">
            <v>0</v>
          </cell>
          <cell r="W172">
            <v>0</v>
          </cell>
          <cell r="X172">
            <v>1</v>
          </cell>
          <cell r="Y172">
            <v>0</v>
          </cell>
          <cell r="Z172">
            <v>0</v>
          </cell>
          <cell r="AA172">
            <v>0</v>
          </cell>
          <cell r="AB172">
            <v>0</v>
          </cell>
          <cell r="AC172">
            <v>1</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row>
        <row r="173">
          <cell r="A173">
            <v>172</v>
          </cell>
          <cell r="F173" t="str">
            <v>Chennai</v>
          </cell>
          <cell r="G173">
            <v>5</v>
          </cell>
          <cell r="H173">
            <v>10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row>
        <row r="174">
          <cell r="A174">
            <v>173</v>
          </cell>
          <cell r="F174" t="str">
            <v>Bengaluru</v>
          </cell>
          <cell r="G174">
            <v>6</v>
          </cell>
          <cell r="H174">
            <v>8</v>
          </cell>
          <cell r="O174">
            <v>1</v>
          </cell>
          <cell r="P174">
            <v>0</v>
          </cell>
          <cell r="Q174">
            <v>1</v>
          </cell>
          <cell r="R174">
            <v>0</v>
          </cell>
          <cell r="S174">
            <v>0</v>
          </cell>
          <cell r="T174">
            <v>0</v>
          </cell>
          <cell r="U174">
            <v>0</v>
          </cell>
          <cell r="V174">
            <v>0</v>
          </cell>
          <cell r="W174">
            <v>0</v>
          </cell>
          <cell r="X174">
            <v>0</v>
          </cell>
          <cell r="Y174">
            <v>0</v>
          </cell>
          <cell r="Z174">
            <v>0</v>
          </cell>
          <cell r="AA174">
            <v>1</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row>
        <row r="175">
          <cell r="A175">
            <v>174</v>
          </cell>
          <cell r="F175" t="str">
            <v>Mumbai</v>
          </cell>
          <cell r="G175">
            <v>5</v>
          </cell>
          <cell r="H175">
            <v>8</v>
          </cell>
          <cell r="O175">
            <v>1</v>
          </cell>
          <cell r="P175">
            <v>0</v>
          </cell>
          <cell r="Q175">
            <v>1</v>
          </cell>
          <cell r="R175">
            <v>0</v>
          </cell>
          <cell r="S175">
            <v>0</v>
          </cell>
          <cell r="T175">
            <v>0</v>
          </cell>
          <cell r="U175">
            <v>0</v>
          </cell>
          <cell r="V175">
            <v>0</v>
          </cell>
          <cell r="W175">
            <v>0</v>
          </cell>
          <cell r="X175">
            <v>0</v>
          </cell>
          <cell r="Y175">
            <v>0</v>
          </cell>
          <cell r="Z175">
            <v>0</v>
          </cell>
          <cell r="AA175">
            <v>0</v>
          </cell>
          <cell r="AB175">
            <v>0</v>
          </cell>
          <cell r="AC175">
            <v>1</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row>
        <row r="176">
          <cell r="A176">
            <v>175</v>
          </cell>
          <cell r="F176" t="str">
            <v>Gurgaon</v>
          </cell>
          <cell r="G176">
            <v>5</v>
          </cell>
          <cell r="H176">
            <v>7</v>
          </cell>
          <cell r="O176">
            <v>1</v>
          </cell>
          <cell r="P176">
            <v>1</v>
          </cell>
          <cell r="Q176">
            <v>1</v>
          </cell>
          <cell r="R176">
            <v>1</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row>
        <row r="177">
          <cell r="A177">
            <v>176</v>
          </cell>
          <cell r="F177" t="str">
            <v>Bengaluru</v>
          </cell>
          <cell r="G177">
            <v>5</v>
          </cell>
          <cell r="H177">
            <v>8</v>
          </cell>
          <cell r="O177">
            <v>1</v>
          </cell>
          <cell r="P177">
            <v>0</v>
          </cell>
          <cell r="Q177">
            <v>1</v>
          </cell>
          <cell r="R177">
            <v>0</v>
          </cell>
          <cell r="S177">
            <v>1</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row>
        <row r="178">
          <cell r="A178">
            <v>177</v>
          </cell>
          <cell r="F178" t="str">
            <v>Gurgaon</v>
          </cell>
          <cell r="G178">
            <v>5</v>
          </cell>
          <cell r="H178">
            <v>7</v>
          </cell>
          <cell r="O178">
            <v>0</v>
          </cell>
          <cell r="P178">
            <v>0</v>
          </cell>
          <cell r="Q178">
            <v>0</v>
          </cell>
          <cell r="R178">
            <v>0</v>
          </cell>
          <cell r="S178">
            <v>1</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row>
        <row r="179">
          <cell r="A179">
            <v>178</v>
          </cell>
          <cell r="F179" t="str">
            <v>Bengaluru</v>
          </cell>
          <cell r="G179">
            <v>8</v>
          </cell>
          <cell r="H179">
            <v>12</v>
          </cell>
          <cell r="O179">
            <v>1</v>
          </cell>
          <cell r="P179">
            <v>0</v>
          </cell>
          <cell r="Q179">
            <v>0</v>
          </cell>
          <cell r="R179">
            <v>0</v>
          </cell>
          <cell r="S179">
            <v>1</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row>
        <row r="180">
          <cell r="A180">
            <v>179</v>
          </cell>
          <cell r="F180" t="str">
            <v>Noida</v>
          </cell>
          <cell r="G180">
            <v>6</v>
          </cell>
          <cell r="H180">
            <v>8</v>
          </cell>
          <cell r="O180">
            <v>0</v>
          </cell>
          <cell r="P180">
            <v>0</v>
          </cell>
          <cell r="Q180">
            <v>1</v>
          </cell>
          <cell r="R180">
            <v>0</v>
          </cell>
          <cell r="S180">
            <v>1</v>
          </cell>
          <cell r="T180">
            <v>1</v>
          </cell>
          <cell r="U180">
            <v>0</v>
          </cell>
          <cell r="V180">
            <v>1</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row>
        <row r="181">
          <cell r="A181">
            <v>180</v>
          </cell>
          <cell r="F181" t="str">
            <v>Gurgaon</v>
          </cell>
          <cell r="G181">
            <v>5</v>
          </cell>
          <cell r="H181">
            <v>7</v>
          </cell>
          <cell r="O181">
            <v>1</v>
          </cell>
          <cell r="P181">
            <v>1</v>
          </cell>
          <cell r="Q181">
            <v>1</v>
          </cell>
          <cell r="R181">
            <v>0</v>
          </cell>
          <cell r="S181">
            <v>0</v>
          </cell>
          <cell r="T181">
            <v>0</v>
          </cell>
          <cell r="U181">
            <v>0</v>
          </cell>
          <cell r="V181">
            <v>0</v>
          </cell>
          <cell r="W181">
            <v>0</v>
          </cell>
          <cell r="X181">
            <v>0</v>
          </cell>
          <cell r="Y181">
            <v>0</v>
          </cell>
          <cell r="Z181">
            <v>0</v>
          </cell>
          <cell r="AA181">
            <v>1</v>
          </cell>
          <cell r="AB181">
            <v>0</v>
          </cell>
          <cell r="AC181">
            <v>0</v>
          </cell>
          <cell r="AD181">
            <v>1</v>
          </cell>
          <cell r="AE181">
            <v>1</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row>
        <row r="182">
          <cell r="A182">
            <v>181</v>
          </cell>
          <cell r="F182" t="str">
            <v>Chennai</v>
          </cell>
          <cell r="G182">
            <v>4</v>
          </cell>
          <cell r="H182">
            <v>8</v>
          </cell>
          <cell r="O182">
            <v>1</v>
          </cell>
          <cell r="P182">
            <v>0</v>
          </cell>
          <cell r="Q182">
            <v>1</v>
          </cell>
          <cell r="R182">
            <v>1</v>
          </cell>
          <cell r="S182">
            <v>1</v>
          </cell>
          <cell r="T182">
            <v>1</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row>
        <row r="183">
          <cell r="A183">
            <v>182</v>
          </cell>
          <cell r="F183" t="str">
            <v>Bengaluru</v>
          </cell>
          <cell r="G183">
            <v>0</v>
          </cell>
          <cell r="H183">
            <v>2</v>
          </cell>
          <cell r="O183">
            <v>0</v>
          </cell>
          <cell r="P183">
            <v>0</v>
          </cell>
          <cell r="Q183">
            <v>0</v>
          </cell>
          <cell r="R183">
            <v>0</v>
          </cell>
          <cell r="S183">
            <v>1</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1</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row>
        <row r="184">
          <cell r="A184">
            <v>183</v>
          </cell>
          <cell r="F184" t="str">
            <v>Hyderabad</v>
          </cell>
          <cell r="G184">
            <v>3</v>
          </cell>
          <cell r="H184">
            <v>5</v>
          </cell>
          <cell r="O184">
            <v>1</v>
          </cell>
          <cell r="P184">
            <v>0</v>
          </cell>
          <cell r="Q184">
            <v>0</v>
          </cell>
          <cell r="R184">
            <v>0</v>
          </cell>
          <cell r="S184">
            <v>1</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row>
        <row r="185">
          <cell r="A185">
            <v>184</v>
          </cell>
          <cell r="F185" t="str">
            <v>Chennai</v>
          </cell>
          <cell r="G185">
            <v>1</v>
          </cell>
          <cell r="H185">
            <v>3</v>
          </cell>
          <cell r="O185">
            <v>1</v>
          </cell>
          <cell r="P185">
            <v>0</v>
          </cell>
          <cell r="Q185">
            <v>1</v>
          </cell>
          <cell r="R185">
            <v>1</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row>
        <row r="186">
          <cell r="A186">
            <v>185</v>
          </cell>
          <cell r="F186" t="str">
            <v>Noida</v>
          </cell>
          <cell r="G186">
            <v>0</v>
          </cell>
          <cell r="H186">
            <v>2</v>
          </cell>
          <cell r="O186">
            <v>1</v>
          </cell>
          <cell r="P186">
            <v>0</v>
          </cell>
          <cell r="Q186">
            <v>0</v>
          </cell>
          <cell r="R186">
            <v>1</v>
          </cell>
          <cell r="S186">
            <v>1</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row>
        <row r="187">
          <cell r="A187">
            <v>186</v>
          </cell>
          <cell r="F187" t="str">
            <v>Delhi</v>
          </cell>
          <cell r="G187">
            <v>0</v>
          </cell>
          <cell r="H187">
            <v>2</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row>
        <row r="188">
          <cell r="A188">
            <v>187</v>
          </cell>
          <cell r="F188" t="str">
            <v>Pune</v>
          </cell>
          <cell r="G188">
            <v>3</v>
          </cell>
          <cell r="H188">
            <v>5</v>
          </cell>
          <cell r="O188">
            <v>0</v>
          </cell>
          <cell r="P188">
            <v>0</v>
          </cell>
          <cell r="Q188">
            <v>1</v>
          </cell>
          <cell r="R188">
            <v>1</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row>
        <row r="189">
          <cell r="A189">
            <v>188</v>
          </cell>
          <cell r="F189" t="str">
            <v>Mumbai</v>
          </cell>
          <cell r="G189">
            <v>2</v>
          </cell>
          <cell r="H189">
            <v>5</v>
          </cell>
          <cell r="O189">
            <v>0</v>
          </cell>
          <cell r="P189">
            <v>0</v>
          </cell>
          <cell r="Q189">
            <v>0</v>
          </cell>
          <cell r="R189">
            <v>0</v>
          </cell>
          <cell r="S189">
            <v>1</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1</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row>
        <row r="190">
          <cell r="A190">
            <v>189</v>
          </cell>
          <cell r="F190" t="str">
            <v>Noida</v>
          </cell>
          <cell r="G190">
            <v>2</v>
          </cell>
          <cell r="H190">
            <v>4</v>
          </cell>
          <cell r="O190">
            <v>0</v>
          </cell>
          <cell r="P190">
            <v>0</v>
          </cell>
          <cell r="Q190">
            <v>0</v>
          </cell>
          <cell r="R190">
            <v>1</v>
          </cell>
          <cell r="S190">
            <v>1</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row>
        <row r="191">
          <cell r="A191">
            <v>190</v>
          </cell>
          <cell r="F191" t="str">
            <v>Mumbai</v>
          </cell>
          <cell r="G191">
            <v>1</v>
          </cell>
          <cell r="H191">
            <v>5</v>
          </cell>
          <cell r="O191">
            <v>0</v>
          </cell>
          <cell r="P191">
            <v>0</v>
          </cell>
          <cell r="Q191">
            <v>0</v>
          </cell>
          <cell r="R191">
            <v>0</v>
          </cell>
          <cell r="S191">
            <v>1</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1</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row>
        <row r="192">
          <cell r="A192">
            <v>191</v>
          </cell>
          <cell r="F192" t="str">
            <v>Noida</v>
          </cell>
          <cell r="G192">
            <v>1</v>
          </cell>
          <cell r="H192">
            <v>3</v>
          </cell>
          <cell r="O192">
            <v>1</v>
          </cell>
          <cell r="P192">
            <v>0</v>
          </cell>
          <cell r="Q192">
            <v>0</v>
          </cell>
          <cell r="R192">
            <v>0</v>
          </cell>
          <cell r="S192">
            <v>1</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row>
        <row r="193">
          <cell r="A193">
            <v>192</v>
          </cell>
          <cell r="F193" t="str">
            <v>Pune</v>
          </cell>
          <cell r="G193">
            <v>7</v>
          </cell>
          <cell r="H193">
            <v>9</v>
          </cell>
          <cell r="O193">
            <v>0</v>
          </cell>
          <cell r="P193">
            <v>0</v>
          </cell>
          <cell r="Q193">
            <v>0</v>
          </cell>
          <cell r="R193">
            <v>0</v>
          </cell>
          <cell r="S193">
            <v>1</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1</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row>
        <row r="194">
          <cell r="A194">
            <v>193</v>
          </cell>
          <cell r="F194" t="str">
            <v>Hyderabad</v>
          </cell>
          <cell r="G194">
            <v>3</v>
          </cell>
          <cell r="H194">
            <v>7</v>
          </cell>
          <cell r="O194">
            <v>0</v>
          </cell>
          <cell r="P194">
            <v>0</v>
          </cell>
          <cell r="Q194">
            <v>1</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row>
        <row r="195">
          <cell r="A195">
            <v>194</v>
          </cell>
          <cell r="F195" t="str">
            <v>Bengaluru</v>
          </cell>
          <cell r="G195">
            <v>0</v>
          </cell>
          <cell r="H195">
            <v>2</v>
          </cell>
          <cell r="O195">
            <v>1</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row>
        <row r="196">
          <cell r="A196">
            <v>195</v>
          </cell>
          <cell r="F196" t="str">
            <v>Pune</v>
          </cell>
          <cell r="G196">
            <v>0</v>
          </cell>
          <cell r="H196">
            <v>2</v>
          </cell>
          <cell r="O196">
            <v>0</v>
          </cell>
          <cell r="P196">
            <v>0</v>
          </cell>
          <cell r="Q196">
            <v>0</v>
          </cell>
          <cell r="R196">
            <v>0</v>
          </cell>
          <cell r="S196">
            <v>1</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row>
        <row r="197">
          <cell r="A197">
            <v>196</v>
          </cell>
          <cell r="F197" t="str">
            <v>Pune</v>
          </cell>
          <cell r="G197">
            <v>0</v>
          </cell>
          <cell r="H197">
            <v>2</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row>
        <row r="198">
          <cell r="A198">
            <v>197</v>
          </cell>
          <cell r="F198" t="str">
            <v>Gurgaon</v>
          </cell>
          <cell r="G198">
            <v>0</v>
          </cell>
          <cell r="H198">
            <v>2</v>
          </cell>
          <cell r="O198">
            <v>1</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row>
        <row r="199">
          <cell r="A199">
            <v>198</v>
          </cell>
          <cell r="F199" t="str">
            <v>Bengaluru</v>
          </cell>
          <cell r="G199">
            <v>7</v>
          </cell>
          <cell r="H199">
            <v>9</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row>
        <row r="200">
          <cell r="A200">
            <v>199</v>
          </cell>
          <cell r="F200" t="str">
            <v>Bengaluru</v>
          </cell>
          <cell r="G200">
            <v>2</v>
          </cell>
          <cell r="H200">
            <v>4</v>
          </cell>
          <cell r="O200">
            <v>1</v>
          </cell>
          <cell r="P200">
            <v>0</v>
          </cell>
          <cell r="Q200">
            <v>0</v>
          </cell>
          <cell r="R200">
            <v>0</v>
          </cell>
          <cell r="S200">
            <v>1</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row>
        <row r="201">
          <cell r="A201">
            <v>200</v>
          </cell>
          <cell r="F201" t="str">
            <v>Noida</v>
          </cell>
          <cell r="G201">
            <v>0</v>
          </cell>
          <cell r="H201">
            <v>2</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row>
        <row r="202">
          <cell r="A202">
            <v>201</v>
          </cell>
          <cell r="F202" t="str">
            <v>Noida</v>
          </cell>
          <cell r="G202">
            <v>8</v>
          </cell>
          <cell r="H202">
            <v>10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row>
        <row r="203">
          <cell r="A203">
            <v>202</v>
          </cell>
          <cell r="F203" t="str">
            <v>Delhi</v>
          </cell>
          <cell r="G203">
            <v>4</v>
          </cell>
          <cell r="H203">
            <v>7</v>
          </cell>
          <cell r="O203">
            <v>0</v>
          </cell>
          <cell r="P203">
            <v>0</v>
          </cell>
          <cell r="Q203">
            <v>1</v>
          </cell>
          <cell r="R203">
            <v>0</v>
          </cell>
          <cell r="S203">
            <v>0</v>
          </cell>
          <cell r="T203">
            <v>0</v>
          </cell>
          <cell r="U203">
            <v>0</v>
          </cell>
          <cell r="V203">
            <v>0</v>
          </cell>
          <cell r="W203">
            <v>0</v>
          </cell>
          <cell r="X203">
            <v>1</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row>
        <row r="204">
          <cell r="A204">
            <v>203</v>
          </cell>
          <cell r="F204" t="str">
            <v>Bengaluru</v>
          </cell>
          <cell r="G204">
            <v>6</v>
          </cell>
          <cell r="H204">
            <v>8</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row>
        <row r="205">
          <cell r="A205">
            <v>204</v>
          </cell>
          <cell r="F205" t="str">
            <v>Bengaluru</v>
          </cell>
          <cell r="G205">
            <v>8</v>
          </cell>
          <cell r="H205">
            <v>10</v>
          </cell>
          <cell r="O205">
            <v>1</v>
          </cell>
          <cell r="P205">
            <v>0</v>
          </cell>
          <cell r="Q205">
            <v>1</v>
          </cell>
          <cell r="R205">
            <v>0</v>
          </cell>
          <cell r="S205">
            <v>0</v>
          </cell>
          <cell r="T205">
            <v>0</v>
          </cell>
          <cell r="U205">
            <v>1</v>
          </cell>
          <cell r="V205">
            <v>0</v>
          </cell>
          <cell r="W205">
            <v>0</v>
          </cell>
          <cell r="X205">
            <v>1</v>
          </cell>
          <cell r="Y205">
            <v>0</v>
          </cell>
          <cell r="Z205">
            <v>0</v>
          </cell>
          <cell r="AA205">
            <v>0</v>
          </cell>
          <cell r="AB205">
            <v>0</v>
          </cell>
          <cell r="AC205">
            <v>0</v>
          </cell>
          <cell r="AD205">
            <v>1</v>
          </cell>
          <cell r="AE205">
            <v>0</v>
          </cell>
          <cell r="AF205">
            <v>0</v>
          </cell>
          <cell r="AG205">
            <v>0</v>
          </cell>
          <cell r="AH205">
            <v>0</v>
          </cell>
          <cell r="AI205">
            <v>0</v>
          </cell>
          <cell r="AJ205">
            <v>0</v>
          </cell>
          <cell r="AK205">
            <v>1</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row>
        <row r="206">
          <cell r="A206">
            <v>205</v>
          </cell>
          <cell r="F206" t="str">
            <v>Hyderabad</v>
          </cell>
          <cell r="G206">
            <v>7</v>
          </cell>
          <cell r="H206">
            <v>9</v>
          </cell>
          <cell r="O206">
            <v>1</v>
          </cell>
          <cell r="P206">
            <v>0</v>
          </cell>
          <cell r="Q206">
            <v>1</v>
          </cell>
          <cell r="R206">
            <v>0</v>
          </cell>
          <cell r="S206">
            <v>0</v>
          </cell>
          <cell r="T206">
            <v>0</v>
          </cell>
          <cell r="U206">
            <v>0</v>
          </cell>
          <cell r="V206">
            <v>0</v>
          </cell>
          <cell r="W206">
            <v>0</v>
          </cell>
          <cell r="X206">
            <v>0</v>
          </cell>
          <cell r="Y206">
            <v>0</v>
          </cell>
          <cell r="Z206">
            <v>0</v>
          </cell>
          <cell r="AA206">
            <v>0</v>
          </cell>
          <cell r="AB206">
            <v>0</v>
          </cell>
          <cell r="AC206">
            <v>1</v>
          </cell>
          <cell r="AD206">
            <v>1</v>
          </cell>
          <cell r="AE206">
            <v>0</v>
          </cell>
          <cell r="AF206">
            <v>0</v>
          </cell>
          <cell r="AG206">
            <v>0</v>
          </cell>
          <cell r="AH206">
            <v>0</v>
          </cell>
          <cell r="AI206">
            <v>0</v>
          </cell>
          <cell r="AJ206">
            <v>1</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row>
        <row r="207">
          <cell r="A207">
            <v>206</v>
          </cell>
          <cell r="F207" t="str">
            <v>Noida</v>
          </cell>
          <cell r="G207">
            <v>0</v>
          </cell>
          <cell r="H207">
            <v>0</v>
          </cell>
          <cell r="O207">
            <v>0</v>
          </cell>
          <cell r="P207">
            <v>0</v>
          </cell>
          <cell r="Q207">
            <v>0</v>
          </cell>
          <cell r="R207">
            <v>0</v>
          </cell>
          <cell r="S207">
            <v>1</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row>
        <row r="208">
          <cell r="A208">
            <v>207</v>
          </cell>
          <cell r="F208" t="str">
            <v>Remote</v>
          </cell>
          <cell r="G208">
            <v>0</v>
          </cell>
          <cell r="H208">
            <v>0</v>
          </cell>
          <cell r="O208">
            <v>1</v>
          </cell>
          <cell r="P208">
            <v>1</v>
          </cell>
          <cell r="Q208">
            <v>1</v>
          </cell>
          <cell r="R208">
            <v>1</v>
          </cell>
          <cell r="S208">
            <v>1</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row>
        <row r="209">
          <cell r="A209">
            <v>208</v>
          </cell>
          <cell r="F209" t="str">
            <v>Remote</v>
          </cell>
          <cell r="G209">
            <v>0</v>
          </cell>
          <cell r="H209">
            <v>0</v>
          </cell>
          <cell r="O209">
            <v>1</v>
          </cell>
          <cell r="P209">
            <v>1</v>
          </cell>
          <cell r="Q209">
            <v>1</v>
          </cell>
          <cell r="R209">
            <v>1</v>
          </cell>
          <cell r="S209">
            <v>1</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row>
        <row r="210">
          <cell r="A210">
            <v>209</v>
          </cell>
          <cell r="F210" t="str">
            <v>Remote</v>
          </cell>
          <cell r="G210">
            <v>0</v>
          </cell>
          <cell r="H210">
            <v>0</v>
          </cell>
          <cell r="O210">
            <v>1</v>
          </cell>
          <cell r="P210">
            <v>0</v>
          </cell>
          <cell r="Q210">
            <v>1</v>
          </cell>
          <cell r="R210">
            <v>1</v>
          </cell>
          <cell r="S210">
            <v>1</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row>
        <row r="211">
          <cell r="A211">
            <v>210</v>
          </cell>
          <cell r="F211" t="str">
            <v>Remote</v>
          </cell>
          <cell r="G211">
            <v>0</v>
          </cell>
          <cell r="H211">
            <v>0</v>
          </cell>
          <cell r="O211">
            <v>0</v>
          </cell>
          <cell r="P211">
            <v>0</v>
          </cell>
          <cell r="Q211">
            <v>0</v>
          </cell>
          <cell r="R211">
            <v>0</v>
          </cell>
          <cell r="S211">
            <v>1</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row>
        <row r="212">
          <cell r="A212">
            <v>211</v>
          </cell>
          <cell r="F212" t="str">
            <v>Pune</v>
          </cell>
          <cell r="G212">
            <v>0</v>
          </cell>
          <cell r="H212">
            <v>0</v>
          </cell>
          <cell r="O212">
            <v>0</v>
          </cell>
          <cell r="P212">
            <v>1</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row>
        <row r="213">
          <cell r="A213">
            <v>212</v>
          </cell>
          <cell r="F213" t="str">
            <v>Gurgaon</v>
          </cell>
          <cell r="G213">
            <v>0</v>
          </cell>
          <cell r="H213">
            <v>0</v>
          </cell>
          <cell r="O213">
            <v>0</v>
          </cell>
          <cell r="P213">
            <v>0</v>
          </cell>
          <cell r="Q213">
            <v>0</v>
          </cell>
          <cell r="R213">
            <v>0</v>
          </cell>
          <cell r="S213">
            <v>1</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1</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row>
        <row r="214">
          <cell r="A214">
            <v>213</v>
          </cell>
          <cell r="F214" t="str">
            <v>Bengaluru</v>
          </cell>
          <cell r="G214">
            <v>0</v>
          </cell>
          <cell r="H214">
            <v>0</v>
          </cell>
          <cell r="O214">
            <v>1</v>
          </cell>
          <cell r="P214">
            <v>1</v>
          </cell>
          <cell r="Q214">
            <v>1</v>
          </cell>
          <cell r="R214">
            <v>1</v>
          </cell>
          <cell r="S214">
            <v>1</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row>
        <row r="215">
          <cell r="A215">
            <v>214</v>
          </cell>
          <cell r="F215" t="str">
            <v>Pune</v>
          </cell>
          <cell r="G215">
            <v>0</v>
          </cell>
          <cell r="H215">
            <v>0</v>
          </cell>
          <cell r="O215">
            <v>0</v>
          </cell>
          <cell r="P215">
            <v>0</v>
          </cell>
          <cell r="Q215">
            <v>0</v>
          </cell>
          <cell r="R215">
            <v>0</v>
          </cell>
          <cell r="S215">
            <v>1</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1</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row>
        <row r="216">
          <cell r="A216">
            <v>215</v>
          </cell>
          <cell r="F216" t="str">
            <v>Remote</v>
          </cell>
          <cell r="G216">
            <v>0</v>
          </cell>
          <cell r="H216">
            <v>0</v>
          </cell>
          <cell r="O216">
            <v>1</v>
          </cell>
          <cell r="P216">
            <v>1</v>
          </cell>
          <cell r="Q216">
            <v>0</v>
          </cell>
          <cell r="R216">
            <v>0</v>
          </cell>
          <cell r="S216">
            <v>0</v>
          </cell>
          <cell r="T216">
            <v>0</v>
          </cell>
          <cell r="U216">
            <v>0</v>
          </cell>
          <cell r="V216">
            <v>0</v>
          </cell>
          <cell r="W216">
            <v>0</v>
          </cell>
          <cell r="X216">
            <v>0</v>
          </cell>
          <cell r="Y216">
            <v>1</v>
          </cell>
          <cell r="Z216">
            <v>0</v>
          </cell>
          <cell r="AA216">
            <v>0</v>
          </cell>
          <cell r="AB216">
            <v>0</v>
          </cell>
          <cell r="AC216">
            <v>0</v>
          </cell>
          <cell r="AD216">
            <v>0</v>
          </cell>
          <cell r="AE216">
            <v>0</v>
          </cell>
          <cell r="AF216">
            <v>0</v>
          </cell>
          <cell r="AG216">
            <v>0</v>
          </cell>
          <cell r="AH216">
            <v>0</v>
          </cell>
          <cell r="AI216">
            <v>0</v>
          </cell>
          <cell r="AJ216">
            <v>0</v>
          </cell>
          <cell r="AK216">
            <v>1</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row>
        <row r="217">
          <cell r="A217">
            <v>216</v>
          </cell>
          <cell r="F217" t="str">
            <v>Bengaluru</v>
          </cell>
          <cell r="G217">
            <v>0</v>
          </cell>
          <cell r="H217">
            <v>0</v>
          </cell>
          <cell r="O217">
            <v>0</v>
          </cell>
          <cell r="P217">
            <v>1</v>
          </cell>
          <cell r="Q217">
            <v>0</v>
          </cell>
          <cell r="R217">
            <v>0</v>
          </cell>
          <cell r="S217">
            <v>0</v>
          </cell>
          <cell r="T217">
            <v>1</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row>
        <row r="218">
          <cell r="A218">
            <v>217</v>
          </cell>
          <cell r="F218" t="str">
            <v>Bengaluru</v>
          </cell>
          <cell r="G218">
            <v>0</v>
          </cell>
          <cell r="H218">
            <v>0</v>
          </cell>
          <cell r="O218">
            <v>1</v>
          </cell>
          <cell r="P218">
            <v>0</v>
          </cell>
          <cell r="Q218">
            <v>0</v>
          </cell>
          <cell r="R218">
            <v>0</v>
          </cell>
          <cell r="S218">
            <v>0</v>
          </cell>
          <cell r="T218">
            <v>0</v>
          </cell>
          <cell r="U218">
            <v>1</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1</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row>
        <row r="219">
          <cell r="A219">
            <v>218</v>
          </cell>
          <cell r="F219" t="str">
            <v>Mumbai</v>
          </cell>
          <cell r="G219">
            <v>0</v>
          </cell>
          <cell r="H219">
            <v>0</v>
          </cell>
          <cell r="O219">
            <v>1</v>
          </cell>
          <cell r="P219">
            <v>0</v>
          </cell>
          <cell r="Q219">
            <v>0</v>
          </cell>
          <cell r="R219">
            <v>0</v>
          </cell>
          <cell r="S219">
            <v>0</v>
          </cell>
          <cell r="T219">
            <v>0</v>
          </cell>
          <cell r="U219">
            <v>0</v>
          </cell>
          <cell r="V219">
            <v>0</v>
          </cell>
          <cell r="W219">
            <v>0</v>
          </cell>
          <cell r="X219">
            <v>0</v>
          </cell>
          <cell r="Y219">
            <v>0</v>
          </cell>
          <cell r="Z219">
            <v>0</v>
          </cell>
          <cell r="AA219">
            <v>1</v>
          </cell>
          <cell r="AB219">
            <v>1</v>
          </cell>
          <cell r="AC219">
            <v>1</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row>
        <row r="220">
          <cell r="A220">
            <v>219</v>
          </cell>
          <cell r="F220" t="str">
            <v>Remote</v>
          </cell>
          <cell r="G220">
            <v>0</v>
          </cell>
          <cell r="H220">
            <v>0</v>
          </cell>
          <cell r="O220">
            <v>1</v>
          </cell>
          <cell r="P220">
            <v>0</v>
          </cell>
          <cell r="Q220">
            <v>0</v>
          </cell>
          <cell r="R220">
            <v>0</v>
          </cell>
          <cell r="S220">
            <v>1</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1</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row>
        <row r="221">
          <cell r="A221">
            <v>220</v>
          </cell>
          <cell r="F221" t="str">
            <v>Gurgaon</v>
          </cell>
          <cell r="G221">
            <v>0</v>
          </cell>
          <cell r="H221">
            <v>0</v>
          </cell>
          <cell r="O221">
            <v>1</v>
          </cell>
          <cell r="P221">
            <v>1</v>
          </cell>
          <cell r="Q221">
            <v>0</v>
          </cell>
          <cell r="R221">
            <v>0</v>
          </cell>
          <cell r="S221">
            <v>1</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row>
        <row r="222">
          <cell r="A222">
            <v>221</v>
          </cell>
          <cell r="F222" t="str">
            <v>Remote</v>
          </cell>
          <cell r="G222">
            <v>0</v>
          </cell>
          <cell r="H222">
            <v>0</v>
          </cell>
          <cell r="O222">
            <v>1</v>
          </cell>
          <cell r="P222">
            <v>0</v>
          </cell>
          <cell r="Q222">
            <v>0</v>
          </cell>
          <cell r="R222">
            <v>0</v>
          </cell>
          <cell r="S222">
            <v>0</v>
          </cell>
          <cell r="T222">
            <v>0</v>
          </cell>
          <cell r="U222">
            <v>1</v>
          </cell>
          <cell r="V222">
            <v>0</v>
          </cell>
          <cell r="W222">
            <v>0</v>
          </cell>
          <cell r="X222">
            <v>0</v>
          </cell>
          <cell r="Y222">
            <v>0</v>
          </cell>
          <cell r="Z222">
            <v>0</v>
          </cell>
          <cell r="AA222">
            <v>0</v>
          </cell>
          <cell r="AB222">
            <v>0</v>
          </cell>
          <cell r="AC222">
            <v>1</v>
          </cell>
          <cell r="AD222">
            <v>0</v>
          </cell>
          <cell r="AE222">
            <v>1</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row>
        <row r="223">
          <cell r="A223">
            <v>222</v>
          </cell>
          <cell r="F223" t="str">
            <v>Bengaluru</v>
          </cell>
          <cell r="G223">
            <v>0</v>
          </cell>
          <cell r="H223">
            <v>0</v>
          </cell>
          <cell r="O223">
            <v>1</v>
          </cell>
          <cell r="P223">
            <v>0</v>
          </cell>
          <cell r="Q223">
            <v>0</v>
          </cell>
          <cell r="R223">
            <v>1</v>
          </cell>
          <cell r="S223">
            <v>1</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row>
        <row r="224">
          <cell r="A224">
            <v>223</v>
          </cell>
          <cell r="F224" t="str">
            <v>Remote</v>
          </cell>
          <cell r="G224">
            <v>0</v>
          </cell>
          <cell r="H224">
            <v>0</v>
          </cell>
          <cell r="O224">
            <v>1</v>
          </cell>
          <cell r="P224">
            <v>0</v>
          </cell>
          <cell r="Q224">
            <v>1</v>
          </cell>
          <cell r="R224">
            <v>0</v>
          </cell>
          <cell r="S224">
            <v>1</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row>
        <row r="225">
          <cell r="A225">
            <v>224</v>
          </cell>
          <cell r="F225" t="str">
            <v>Bengaluru</v>
          </cell>
          <cell r="G225">
            <v>0</v>
          </cell>
          <cell r="H225">
            <v>0</v>
          </cell>
          <cell r="O225">
            <v>1</v>
          </cell>
          <cell r="P225">
            <v>0</v>
          </cell>
          <cell r="Q225">
            <v>0</v>
          </cell>
          <cell r="R225">
            <v>0</v>
          </cell>
          <cell r="S225">
            <v>1</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row>
        <row r="226">
          <cell r="A226">
            <v>225</v>
          </cell>
          <cell r="F226" t="str">
            <v>Mumbai</v>
          </cell>
          <cell r="G226">
            <v>0</v>
          </cell>
          <cell r="H226">
            <v>0</v>
          </cell>
          <cell r="O226">
            <v>1</v>
          </cell>
          <cell r="P226">
            <v>1</v>
          </cell>
          <cell r="Q226">
            <v>1</v>
          </cell>
          <cell r="R226">
            <v>0</v>
          </cell>
          <cell r="S226">
            <v>1</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row>
        <row r="227">
          <cell r="A227">
            <v>226</v>
          </cell>
          <cell r="F227" t="str">
            <v>Bengaluru</v>
          </cell>
          <cell r="G227">
            <v>0</v>
          </cell>
          <cell r="H227">
            <v>0</v>
          </cell>
          <cell r="O227">
            <v>0</v>
          </cell>
          <cell r="P227">
            <v>0</v>
          </cell>
          <cell r="Q227">
            <v>0</v>
          </cell>
          <cell r="R227">
            <v>0</v>
          </cell>
          <cell r="S227">
            <v>1</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row>
        <row r="228">
          <cell r="A228">
            <v>227</v>
          </cell>
          <cell r="F228" t="str">
            <v>Mumbai</v>
          </cell>
          <cell r="G228">
            <v>0</v>
          </cell>
          <cell r="H228">
            <v>0</v>
          </cell>
          <cell r="O228">
            <v>1</v>
          </cell>
          <cell r="P228">
            <v>1</v>
          </cell>
          <cell r="Q228">
            <v>0</v>
          </cell>
          <cell r="R228">
            <v>0</v>
          </cell>
          <cell r="S228">
            <v>0</v>
          </cell>
          <cell r="T228">
            <v>0</v>
          </cell>
          <cell r="U228">
            <v>1</v>
          </cell>
          <cell r="V228">
            <v>0</v>
          </cell>
          <cell r="W228">
            <v>0</v>
          </cell>
          <cell r="X228">
            <v>0</v>
          </cell>
          <cell r="Y228">
            <v>0</v>
          </cell>
          <cell r="Z228">
            <v>0</v>
          </cell>
          <cell r="AA228">
            <v>0</v>
          </cell>
          <cell r="AB228">
            <v>0</v>
          </cell>
          <cell r="AC228">
            <v>1</v>
          </cell>
          <cell r="AD228">
            <v>0</v>
          </cell>
          <cell r="AE228">
            <v>0</v>
          </cell>
          <cell r="AF228">
            <v>0</v>
          </cell>
          <cell r="AG228">
            <v>0</v>
          </cell>
          <cell r="AH228">
            <v>0</v>
          </cell>
          <cell r="AI228">
            <v>0</v>
          </cell>
          <cell r="AJ228">
            <v>1</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row>
        <row r="229">
          <cell r="A229">
            <v>228</v>
          </cell>
          <cell r="F229" t="str">
            <v>Chennai</v>
          </cell>
          <cell r="G229">
            <v>0</v>
          </cell>
          <cell r="H229">
            <v>0</v>
          </cell>
          <cell r="O229">
            <v>1</v>
          </cell>
          <cell r="P229">
            <v>1</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row>
        <row r="230">
          <cell r="A230">
            <v>229</v>
          </cell>
          <cell r="F230" t="str">
            <v>Bengaluru</v>
          </cell>
          <cell r="G230">
            <v>0</v>
          </cell>
          <cell r="H230">
            <v>0</v>
          </cell>
          <cell r="O230">
            <v>0</v>
          </cell>
          <cell r="P230">
            <v>0</v>
          </cell>
          <cell r="Q230">
            <v>0</v>
          </cell>
          <cell r="R230">
            <v>0</v>
          </cell>
          <cell r="S230">
            <v>1</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1</v>
          </cell>
          <cell r="AL230">
            <v>0</v>
          </cell>
          <cell r="AM230">
            <v>0</v>
          </cell>
          <cell r="AN230">
            <v>1</v>
          </cell>
          <cell r="AO230">
            <v>0</v>
          </cell>
          <cell r="AP230">
            <v>0</v>
          </cell>
          <cell r="AQ230">
            <v>0</v>
          </cell>
          <cell r="AR230">
            <v>0</v>
          </cell>
          <cell r="AS230">
            <v>0</v>
          </cell>
          <cell r="AT230">
            <v>0</v>
          </cell>
          <cell r="AU230">
            <v>0</v>
          </cell>
          <cell r="AV230">
            <v>0</v>
          </cell>
          <cell r="AW230">
            <v>0</v>
          </cell>
          <cell r="AX230">
            <v>0</v>
          </cell>
          <cell r="AY230">
            <v>0</v>
          </cell>
        </row>
        <row r="231">
          <cell r="A231">
            <v>230</v>
          </cell>
          <cell r="F231" t="str">
            <v>Chennai</v>
          </cell>
          <cell r="G231">
            <v>0</v>
          </cell>
          <cell r="H231">
            <v>0</v>
          </cell>
          <cell r="O231">
            <v>1</v>
          </cell>
          <cell r="P231">
            <v>0</v>
          </cell>
          <cell r="Q231">
            <v>1</v>
          </cell>
          <cell r="R231">
            <v>0</v>
          </cell>
          <cell r="S231">
            <v>1</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9C1973-9C1E-4B8C-96F7-C3CD2B8AF408}" name="Table1" displayName="Table1" ref="A1:AZ231" totalsRowShown="0" headerRowDxfId="1">
  <autoFilter ref="A1:AZ231" xr:uid="{00000000-0009-0000-0100-000001000000}"/>
  <tableColumns count="52">
    <tableColumn id="1" xr3:uid="{00000000-0010-0000-0000-000001000000}" name="Job_ID"/>
    <tableColumn id="2" xr3:uid="{00000000-0010-0000-0000-000002000000}" name="Date_Collected" dataDxfId="0"/>
    <tableColumn id="3" xr3:uid="{00000000-0010-0000-0000-000003000000}" name="Source_Portal"/>
    <tableColumn id="4" xr3:uid="{00000000-0010-0000-0000-000004000000}" name="Job_Title"/>
    <tableColumn id="5" xr3:uid="{00000000-0010-0000-0000-000005000000}" name="Company"/>
    <tableColumn id="6" xr3:uid="{00000000-0010-0000-0000-000006000000}" name="City"/>
    <tableColumn id="7" xr3:uid="{00000000-0010-0000-0000-000007000000}" name="Experience_Min(years)"/>
    <tableColumn id="8" xr3:uid="{00000000-0010-0000-0000-000008000000}" name="Experience_Max(years)"/>
    <tableColumn id="9" xr3:uid="{00000000-0010-0000-0000-000009000000}" name="Salary_Min(LPA)"/>
    <tableColumn id="10" xr3:uid="{00000000-0010-0000-0000-00000A000000}" name="Salary_Max(LPA)"/>
    <tableColumn id="11" xr3:uid="{00000000-0010-0000-0000-00000B000000}" name="Raw_Skills_Text"/>
    <tableColumn id="12" xr3:uid="{00000000-0010-0000-0000-00000C000000}" name="Good_To_Have_Skills"/>
    <tableColumn id="13" xr3:uid="{00000000-0010-0000-0000-00000D000000}" name="Remote_Option"/>
    <tableColumn id="14" xr3:uid="{00000000-0010-0000-0000-00000E000000}" name="Company_Size"/>
    <tableColumn id="15" xr3:uid="{00000000-0010-0000-0000-00000F000000}" name="SQL">
      <calculatedColumnFormula>IF(ISBLANK(K2),0,IF(ISNUMBER(SEARCH("sql",K2)),1,0))</calculatedColumnFormula>
    </tableColumn>
    <tableColumn id="16" xr3:uid="{00000000-0010-0000-0000-000010000000}" name="Python">
      <calculatedColumnFormula>IF(ISBLANK(K2),0,IF(ISNUMBER(SEARCH("Python",K2)),1,0))</calculatedColumnFormula>
    </tableColumn>
    <tableColumn id="17" xr3:uid="{00000000-0010-0000-0000-000011000000}" name="PowerBI">
      <calculatedColumnFormula>IF(ISBLANK(K2),0,IF(ISNUMBER(SEARCH("PowerBI",K2)),1,0))</calculatedColumnFormula>
    </tableColumn>
    <tableColumn id="18" xr3:uid="{00000000-0010-0000-0000-000012000000}" name="Tableau">
      <calculatedColumnFormula>IF(ISBLANK(K2),0,IF(ISNUMBER(SEARCH("Tableau",K2)),1,0))</calculatedColumnFormula>
    </tableColumn>
    <tableColumn id="19" xr3:uid="{00000000-0010-0000-0000-000013000000}" name="Excel">
      <calculatedColumnFormula>IF(ISBLANK(K2),0,IF(ISNUMBER(SEARCH("Excel",K2)),1,0))</calculatedColumnFormula>
    </tableColumn>
    <tableColumn id="20" xr3:uid="{00000000-0010-0000-0000-000014000000}" name="Statistics">
      <calculatedColumnFormula>IF(ISBLANK(K2),0,IF(ISNUMBER(SEARCH("Statistics",K2)),1,0))</calculatedColumnFormula>
    </tableColumn>
    <tableColumn id="21" xr3:uid="{00000000-0010-0000-0000-000015000000}" name="AWS">
      <calculatedColumnFormula>IF(ISBLANK(K2),0,IF(ISNUMBER(SEARCH("AWS",K2)),1,0))</calculatedColumnFormula>
    </tableColumn>
    <tableColumn id="22" xr3:uid="{00000000-0010-0000-0000-000016000000}" name="GCP">
      <calculatedColumnFormula>IF(ISBLANK(K2),0,IF(ISNUMBER(SEARCH("GCP",K2)),1,0))</calculatedColumnFormula>
    </tableColumn>
    <tableColumn id="23" xr3:uid="{00000000-0010-0000-0000-000017000000}" name="NoSQL">
      <calculatedColumnFormula>IF(ISBLANK(K2),0,IF(ISNUMBER(SEARCH("NoSQL",K2)),1,0))</calculatedColumnFormula>
    </tableColumn>
    <tableColumn id="24" xr3:uid="{00000000-0010-0000-0000-000018000000}" name="Data Modeling">
      <calculatedColumnFormula>IF(ISBLANK(K2),0,IF(ISNUMBER(SEARCH("Data Modeling",K2)),1,0))</calculatedColumnFormula>
    </tableColumn>
    <tableColumn id="25" xr3:uid="{00000000-0010-0000-0000-000019000000}" name="Pandas">
      <calculatedColumnFormula>IF(ISBLANK(K2),0,IF(ISNUMBER(SEARCH("Pandas",K2)),1,0))</calculatedColumnFormula>
    </tableColumn>
    <tableColumn id="26" xr3:uid="{00000000-0010-0000-0000-00001A000000}" name="Numpy">
      <calculatedColumnFormula>IF(ISBLANK(K2),0,IF(ISNUMBER(SEARCH("Numpy",K2)),1,0))</calculatedColumnFormula>
    </tableColumn>
    <tableColumn id="27" xr3:uid="{00000000-0010-0000-0000-00001B000000}" name="Pyspark">
      <calculatedColumnFormula>IF(ISBLANK(K2),0,IF(ISNUMBER(SEARCH("Pyspark",K2)),1,0))</calculatedColumnFormula>
    </tableColumn>
    <tableColumn id="28" xr3:uid="{00000000-0010-0000-0000-00001C000000}" name="Hadoop">
      <calculatedColumnFormula>IF(ISBLANK(K2),0,IF(ISNUMBER(SEARCH("Hadoop",K2)),1,0))</calculatedColumnFormula>
    </tableColumn>
    <tableColumn id="29" xr3:uid="{00000000-0010-0000-0000-00001D000000}" name="ETL">
      <calculatedColumnFormula>IF(ISBLANK(K2),0,IF(ISNUMBER(SEARCH("ETL",K2)),1,0))</calculatedColumnFormula>
    </tableColumn>
    <tableColumn id="30" xr3:uid="{00000000-0010-0000-0000-00001E000000}" name="Azure">
      <calculatedColumnFormula>IF(ISBLANK(K2),0,IF(ISNUMBER(SEARCH("Azure",K2)),1,0))</calculatedColumnFormula>
    </tableColumn>
    <tableColumn id="31" xr3:uid="{00000000-0010-0000-0000-00001F000000}" name="Databricks">
      <calculatedColumnFormula>IF(ISBLANK(K2),0,IF(ISNUMBER(SEARCH("Databricks",K2)),1,0))</calculatedColumnFormula>
    </tableColumn>
    <tableColumn id="32" xr3:uid="{00000000-0010-0000-0000-000020000000}" name="A/B Testing">
      <calculatedColumnFormula>IF(ISBLANK(K2),0,IF(ISNUMBER(SEARCH("A/B Testing",K2)),1,0))</calculatedColumnFormula>
    </tableColumn>
    <tableColumn id="33" xr3:uid="{00000000-0010-0000-0000-000021000000}" name="Snowflake">
      <calculatedColumnFormula>IF(ISBLANK(K2),0,IF(ISNUMBER(SEARCH("Snowflake",K2)),1,0))</calculatedColumnFormula>
    </tableColumn>
    <tableColumn id="34" xr3:uid="{00000000-0010-0000-0000-000022000000}" name="Agile">
      <calculatedColumnFormula>IF(ISBLANK(K2),0,IF(ISNUMBER(SEARCH("Agile",K2)),1,0))</calculatedColumnFormula>
    </tableColumn>
    <tableColumn id="35" xr3:uid="{00000000-0010-0000-0000-000023000000}" name="Jira">
      <calculatedColumnFormula>IF(ISBLANK(K2),0,IF(ISNUMBER(SEARCH("Jira",K2)),1,0))</calculatedColumnFormula>
    </tableColumn>
    <tableColumn id="36" xr3:uid="{00000000-0010-0000-0000-000024000000}" name="Git &amp; Github">
      <calculatedColumnFormula>IF(ISBLANK(K2),0,IF(ISNUMBER(SEARCH("Git",K2)),1,0))</calculatedColumnFormula>
    </tableColumn>
    <tableColumn id="37" xr3:uid="{00000000-0010-0000-0000-000025000000}" name="MIS Reporting">
      <calculatedColumnFormula>IF(ISBLANK(K2),0,IF(ISNUMBER(SEARCH("Reporting",K2)),1,0))</calculatedColumnFormula>
    </tableColumn>
    <tableColumn id="38" xr3:uid="{00000000-0010-0000-0000-000026000000}" name="CI/CD">
      <calculatedColumnFormula>IF(ISBLANK(K2),0,IF(ISNUMBER(SEARCH("CI/CD",K2)),1,0))</calculatedColumnFormula>
    </tableColumn>
    <tableColumn id="39" xr3:uid="{00000000-0010-0000-0000-000027000000}" name="Python_pref">
      <calculatedColumnFormula>IF(ISBLANK(L2),0,IF(ISNUMBER(SEARCH("Python",L2)),1,0))</calculatedColumnFormula>
    </tableColumn>
    <tableColumn id="40" xr3:uid="{00000000-0010-0000-0000-000028000000}" name="SQL_pref">
      <calculatedColumnFormula>IF(ISBLANK(L2),0,IF(ISNUMBER(SEARCH("SQL",L2)),1,0))</calculatedColumnFormula>
    </tableColumn>
    <tableColumn id="41" xr3:uid="{00000000-0010-0000-0000-000029000000}" name="Airflow_pref">
      <calculatedColumnFormula>IF(ISBLANK(L2),0,IF(ISNUMBER(SEARCH("Airflow",L2)),1,0))</calculatedColumnFormula>
    </tableColumn>
    <tableColumn id="42" xr3:uid="{00000000-0010-0000-0000-00002A000000}" name="Kafka_pref">
      <calculatedColumnFormula>IF(ISBLANK(L2),0,IF(ISNUMBER(SEARCH("Kafka",L2)),1,0))</calculatedColumnFormula>
    </tableColumn>
    <tableColumn id="43" xr3:uid="{00000000-0010-0000-0000-00002B000000}" name="ML_pref">
      <calculatedColumnFormula>IF(ISBLANK(L2),0,IF(ISNUMBER(SEARCH("ML",L2)),1,0))</calculatedColumnFormula>
    </tableColumn>
    <tableColumn id="44" xr3:uid="{00000000-0010-0000-0000-00002C000000}" name="API_pref">
      <calculatedColumnFormula>IF(ISBLANK(L3),0,IF(ISNUMBER(SEARCH("ML",L3)),1,0))</calculatedColumnFormula>
    </tableColumn>
    <tableColumn id="45" xr3:uid="{00000000-0010-0000-0000-00002D000000}" name="Docker_pref">
      <calculatedColumnFormula>IF(ISBLANK(L4),0,IF(ISNUMBER(SEARCH("Docker",L4)),1,0))</calculatedColumnFormula>
    </tableColumn>
    <tableColumn id="46" xr3:uid="{00000000-0010-0000-0000-00002E000000}" name="dbt_pref">
      <calculatedColumnFormula>IF(ISBLANK(L4),0,IF(ISNUMBER(SEARCH("dbt",L4)),1,0))</calculatedColumnFormula>
    </tableColumn>
    <tableColumn id="47" xr3:uid="{00000000-0010-0000-0000-00002F000000}" name="AWS_pref">
      <calculatedColumnFormula>IF(ISBLANK(L4),0,IF(ISNUMBER(SEARCH("AWS",L4)),1,0))</calculatedColumnFormula>
    </tableColumn>
    <tableColumn id="48" xr3:uid="{00000000-0010-0000-0000-000030000000}" name="GCP_pref">
      <calculatedColumnFormula>IF(ISBLANK(L4),0,IF(ISNUMBER(SEARCH("GCP",L4)),1,0))</calculatedColumnFormula>
    </tableColumn>
    <tableColumn id="49" xr3:uid="{00000000-0010-0000-0000-000031000000}" name="Azure_pref">
      <calculatedColumnFormula>IF(ISBLANK(L4),0,IF(ISNUMBER(SEARCH("Azure",L4)),1,0))</calculatedColumnFormula>
    </tableColumn>
    <tableColumn id="50" xr3:uid="{00000000-0010-0000-0000-000032000000}" name="Tableau_pref">
      <calculatedColumnFormula>IF(ISBLANK(M4),0,IF(ISNUMBER(SEARCH("Tableau",L4)),1,0))</calculatedColumnFormula>
    </tableColumn>
    <tableColumn id="51" xr3:uid="{00000000-0010-0000-0000-000033000000}" name="PowerBI_pref">
      <calculatedColumnFormula>IF(ISBLANK(N4),0,IF(ISNUMBER(SEARCH("PowerBI",L4)),1,0))</calculatedColumnFormula>
    </tableColumn>
    <tableColumn id="52" xr3:uid="{00000000-0010-0000-0000-000034000000}" name="Employment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108A1-1804-4692-8983-92B2FB1E0F27}">
  <dimension ref="A1:AZ231"/>
  <sheetViews>
    <sheetView workbookViewId="0">
      <pane ySplit="1" topLeftCell="A3" activePane="bottomLeft" state="frozen"/>
      <selection pane="bottomLeft" activeCell="B15" sqref="B15"/>
    </sheetView>
  </sheetViews>
  <sheetFormatPr defaultRowHeight="14.4"/>
  <cols>
    <col min="2" max="2" width="17.44140625" customWidth="1"/>
    <col min="3" max="3" width="16" customWidth="1"/>
    <col min="4" max="4" width="21.21875" customWidth="1"/>
    <col min="5" max="5" width="24.6640625" customWidth="1"/>
    <col min="6" max="6" width="19.5546875" customWidth="1"/>
    <col min="7" max="7" width="24.109375" customWidth="1"/>
    <col min="8" max="8" width="24.44140625" customWidth="1"/>
    <col min="9" max="9" width="18.109375" customWidth="1"/>
    <col min="10" max="10" width="18.5546875" customWidth="1"/>
    <col min="11" max="11" width="91.5546875" customWidth="1"/>
    <col min="12" max="12" width="69" customWidth="1"/>
    <col min="13" max="13" width="17.5546875" customWidth="1"/>
    <col min="14" max="14" width="16.77734375" customWidth="1"/>
    <col min="17" max="17" width="10.77734375" customWidth="1"/>
    <col min="18" max="18" width="10.44140625" customWidth="1"/>
    <col min="20" max="20" width="12.109375" customWidth="1"/>
    <col min="24" max="24" width="16.33203125" customWidth="1"/>
    <col min="25" max="25" width="10" customWidth="1"/>
    <col min="27" max="27" width="10.6640625" customWidth="1"/>
    <col min="28" max="28" width="10.44140625" customWidth="1"/>
    <col min="31" max="32" width="13.33203125" customWidth="1"/>
    <col min="33" max="33" width="12.6640625" customWidth="1"/>
    <col min="35" max="35" width="8.77734375" customWidth="1"/>
    <col min="36" max="36" width="14.44140625" customWidth="1"/>
    <col min="37" max="37" width="15.88671875" customWidth="1"/>
    <col min="38" max="38" width="11.109375" customWidth="1"/>
    <col min="39" max="39" width="14.109375" customWidth="1"/>
    <col min="40" max="40" width="11.44140625" customWidth="1"/>
    <col min="41" max="41" width="14.21875" customWidth="1"/>
    <col min="42" max="42" width="13" customWidth="1"/>
    <col min="43" max="43" width="10.33203125" customWidth="1"/>
    <col min="44" max="44" width="10.88671875" customWidth="1"/>
    <col min="45" max="45" width="14.33203125" customWidth="1"/>
    <col min="46" max="46" width="11" customWidth="1"/>
    <col min="47" max="47" width="12.109375" customWidth="1"/>
    <col min="48" max="48" width="11.88671875" customWidth="1"/>
    <col min="49" max="49" width="13" customWidth="1"/>
    <col min="50" max="50" width="15.109375" customWidth="1"/>
    <col min="51" max="51" width="15.33203125" customWidth="1"/>
    <col min="52" max="52" width="20.109375" customWidth="1"/>
  </cols>
  <sheetData>
    <row r="1" spans="1:52">
      <c r="A1" s="1" t="s">
        <v>737</v>
      </c>
      <c r="B1" s="1" t="s">
        <v>736</v>
      </c>
      <c r="C1" s="1" t="s">
        <v>735</v>
      </c>
      <c r="D1" s="1" t="s">
        <v>734</v>
      </c>
      <c r="E1" s="1" t="s">
        <v>733</v>
      </c>
      <c r="F1" s="1" t="s">
        <v>0</v>
      </c>
      <c r="G1" s="1" t="s">
        <v>732</v>
      </c>
      <c r="H1" s="1" t="s">
        <v>731</v>
      </c>
      <c r="I1" s="1" t="s">
        <v>730</v>
      </c>
      <c r="J1" s="1" t="s">
        <v>729</v>
      </c>
      <c r="K1" s="1" t="s">
        <v>728</v>
      </c>
      <c r="L1" s="1" t="s">
        <v>727</v>
      </c>
      <c r="M1" s="1" t="s">
        <v>726</v>
      </c>
      <c r="N1" s="1" t="s">
        <v>725</v>
      </c>
      <c r="O1" s="1" t="s">
        <v>25</v>
      </c>
      <c r="P1" s="1" t="s">
        <v>19</v>
      </c>
      <c r="Q1" s="1" t="s">
        <v>26</v>
      </c>
      <c r="R1" s="1" t="s">
        <v>27</v>
      </c>
      <c r="S1" s="1" t="s">
        <v>21</v>
      </c>
      <c r="T1" s="1" t="s">
        <v>28</v>
      </c>
      <c r="U1" s="1" t="s">
        <v>29</v>
      </c>
      <c r="V1" s="1" t="s">
        <v>30</v>
      </c>
      <c r="W1" s="1" t="s">
        <v>724</v>
      </c>
      <c r="X1" s="1" t="s">
        <v>31</v>
      </c>
      <c r="Y1" s="1" t="s">
        <v>32</v>
      </c>
      <c r="Z1" s="1" t="s">
        <v>33</v>
      </c>
      <c r="AA1" s="1" t="s">
        <v>34</v>
      </c>
      <c r="AB1" s="1" t="s">
        <v>35</v>
      </c>
      <c r="AC1" s="1" t="s">
        <v>36</v>
      </c>
      <c r="AD1" s="1" t="s">
        <v>37</v>
      </c>
      <c r="AE1" s="1" t="s">
        <v>44</v>
      </c>
      <c r="AF1" s="1" t="s">
        <v>38</v>
      </c>
      <c r="AG1" s="1" t="s">
        <v>39</v>
      </c>
      <c r="AH1" s="1" t="s">
        <v>40</v>
      </c>
      <c r="AI1" s="1" t="s">
        <v>41</v>
      </c>
      <c r="AJ1" s="1" t="s">
        <v>42</v>
      </c>
      <c r="AK1" s="1" t="s">
        <v>43</v>
      </c>
      <c r="AL1" s="1" t="s">
        <v>45</v>
      </c>
      <c r="AM1" s="1" t="s">
        <v>723</v>
      </c>
      <c r="AN1" s="1" t="s">
        <v>722</v>
      </c>
      <c r="AO1" s="1" t="s">
        <v>721</v>
      </c>
      <c r="AP1" s="1" t="s">
        <v>720</v>
      </c>
      <c r="AQ1" s="1" t="s">
        <v>719</v>
      </c>
      <c r="AR1" s="1" t="s">
        <v>718</v>
      </c>
      <c r="AS1" s="1" t="s">
        <v>717</v>
      </c>
      <c r="AT1" s="1" t="s">
        <v>716</v>
      </c>
      <c r="AU1" s="1" t="s">
        <v>715</v>
      </c>
      <c r="AV1" s="1" t="s">
        <v>714</v>
      </c>
      <c r="AW1" s="1" t="s">
        <v>713</v>
      </c>
      <c r="AX1" s="1" t="s">
        <v>712</v>
      </c>
      <c r="AY1" s="1" t="s">
        <v>711</v>
      </c>
      <c r="AZ1" s="1" t="s">
        <v>710</v>
      </c>
    </row>
    <row r="2" spans="1:52" ht="28.8">
      <c r="A2">
        <v>1</v>
      </c>
      <c r="B2" s="14">
        <v>46178</v>
      </c>
      <c r="C2" t="s">
        <v>1</v>
      </c>
      <c r="D2" t="s">
        <v>2</v>
      </c>
      <c r="E2" t="s">
        <v>709</v>
      </c>
      <c r="F2" t="s">
        <v>3</v>
      </c>
      <c r="G2">
        <v>4</v>
      </c>
      <c r="H2">
        <v>6</v>
      </c>
      <c r="I2" t="s">
        <v>248</v>
      </c>
      <c r="J2" t="s">
        <v>248</v>
      </c>
      <c r="K2" s="2" t="s">
        <v>708</v>
      </c>
      <c r="L2" s="16" t="s">
        <v>707</v>
      </c>
      <c r="M2" t="s">
        <v>248</v>
      </c>
      <c r="N2" t="s">
        <v>202</v>
      </c>
      <c r="O2">
        <f t="shared" ref="O2:O65" si="0">IF(ISBLANK(K2),0,IF(ISNUMBER(SEARCH("sql",K2)),1,0))</f>
        <v>1</v>
      </c>
      <c r="P2">
        <f t="shared" ref="P2:P65" si="1">IF(ISBLANK(K2),0,IF(ISNUMBER(SEARCH("Python",K2)),1,0))</f>
        <v>1</v>
      </c>
      <c r="Q2">
        <f t="shared" ref="Q2:Q65" si="2">IF(ISBLANK(K2),0,IF(ISNUMBER(SEARCH("PowerBI",K2)),1,0))</f>
        <v>0</v>
      </c>
      <c r="R2">
        <f t="shared" ref="R2:R65" si="3">IF(ISBLANK(K2),0,IF(ISNUMBER(SEARCH("Tableau",K2)),1,0))</f>
        <v>1</v>
      </c>
      <c r="S2">
        <f t="shared" ref="S2:S65" si="4">IF(ISBLANK(K2),0,IF(ISNUMBER(SEARCH("Excel",K2)),1,0))</f>
        <v>1</v>
      </c>
      <c r="T2">
        <f t="shared" ref="T2:T65" si="5">IF(ISBLANK(K2),0,IF(ISNUMBER(SEARCH("Statistics",K2)),1,0))</f>
        <v>0</v>
      </c>
      <c r="U2">
        <f t="shared" ref="U2:U65" si="6">IF(ISBLANK(K2),0,IF(ISNUMBER(SEARCH("AWS",K2)),1,0))</f>
        <v>0</v>
      </c>
      <c r="V2">
        <f t="shared" ref="V2:V65" si="7">IF(ISBLANK(K2),0,IF(ISNUMBER(SEARCH("GCP",K2)),1,0))</f>
        <v>0</v>
      </c>
      <c r="W2">
        <f t="shared" ref="W2:W65" si="8">IF(ISBLANK(K2),0,IF(ISNUMBER(SEARCH("NoSQL",K2)),1,0))</f>
        <v>0</v>
      </c>
      <c r="X2">
        <f t="shared" ref="X2:X65" si="9">IF(ISBLANK(K2),0,IF(ISNUMBER(SEARCH("Data Modeling",K2)),1,0))</f>
        <v>0</v>
      </c>
      <c r="Y2">
        <f t="shared" ref="Y2:Y65" si="10">IF(ISBLANK(K2),0,IF(ISNUMBER(SEARCH("Pandas",K2)),1,0))</f>
        <v>1</v>
      </c>
      <c r="Z2">
        <f t="shared" ref="Z2:Z65" si="11">IF(ISBLANK(K2),0,IF(ISNUMBER(SEARCH("Numpy",K2)),1,0))</f>
        <v>1</v>
      </c>
      <c r="AA2">
        <f t="shared" ref="AA2:AA65" si="12">IF(ISBLANK(K2),0,IF(ISNUMBER(SEARCH("Pyspark",K2)),1,0))</f>
        <v>0</v>
      </c>
      <c r="AB2">
        <f t="shared" ref="AB2:AB65" si="13">IF(ISBLANK(K2),0,IF(ISNUMBER(SEARCH("Hadoop",K2)),1,0))</f>
        <v>0</v>
      </c>
      <c r="AC2">
        <f t="shared" ref="AC2:AC65" si="14">IF(ISBLANK(K2),0,IF(ISNUMBER(SEARCH("ETL",K2)),1,0))</f>
        <v>0</v>
      </c>
      <c r="AD2">
        <f t="shared" ref="AD2:AD65" si="15">IF(ISBLANK(K2),0,IF(ISNUMBER(SEARCH("Azure",K2)),1,0))</f>
        <v>0</v>
      </c>
      <c r="AE2">
        <f t="shared" ref="AE2:AE65" si="16">IF(ISBLANK(K2),0,IF(ISNUMBER(SEARCH("Databricks",K2)),1,0))</f>
        <v>0</v>
      </c>
      <c r="AF2">
        <f t="shared" ref="AF2:AF65" si="17">IF(ISBLANK(K2),0,IF(ISNUMBER(SEARCH("A/B Testing",K2)),1,0))</f>
        <v>1</v>
      </c>
      <c r="AG2">
        <f t="shared" ref="AG2:AG65" si="18">IF(ISBLANK(K2),0,IF(ISNUMBER(SEARCH("Snowflake",K2)),1,0))</f>
        <v>1</v>
      </c>
      <c r="AH2">
        <f t="shared" ref="AH2:AH65" si="19">IF(ISBLANK(K2),0,IF(ISNUMBER(SEARCH("Agile",K2)),1,0))</f>
        <v>0</v>
      </c>
      <c r="AI2">
        <f t="shared" ref="AI2:AI65" si="20">IF(ISBLANK(K2),0,IF(ISNUMBER(SEARCH("Jira",K2)),1,0))</f>
        <v>0</v>
      </c>
      <c r="AJ2">
        <f t="shared" ref="AJ2:AJ65" si="21">IF(ISBLANK(K2),0,IF(ISNUMBER(SEARCH("Git",K2)),1,0))</f>
        <v>0</v>
      </c>
      <c r="AK2">
        <f t="shared" ref="AK2:AK65" si="22">IF(ISBLANK(K2),0,IF(ISNUMBER(SEARCH("Reporting",K2)),1,0))</f>
        <v>0</v>
      </c>
      <c r="AL2">
        <f>AM2</f>
        <v>0</v>
      </c>
      <c r="AM2">
        <f>AN5</f>
        <v>0</v>
      </c>
      <c r="AN2">
        <f t="shared" ref="AN2:AN65" si="23">IF(ISBLANK(L2),0,IF(ISNUMBER(SEARCH("SQL",L2)),1,0))</f>
        <v>0</v>
      </c>
      <c r="AO2">
        <f t="shared" ref="AO2:AO65" si="24">IF(ISBLANK(L2),0,IF(ISNUMBER(SEARCH("Airflow",L2)),1,0))</f>
        <v>0</v>
      </c>
      <c r="AP2">
        <f t="shared" ref="AP2:AP65" si="25">IF(ISBLANK(L2),0,IF(ISNUMBER(SEARCH("Kafka",L2)),1,0))</f>
        <v>0</v>
      </c>
      <c r="AQ2">
        <f>AR3</f>
        <v>0</v>
      </c>
      <c r="AR2">
        <f>IF(ISBLANK(L4),0,IF(ISNUMBER(SEARCH("API",L4)),1,0))</f>
        <v>0</v>
      </c>
      <c r="AS2">
        <f t="shared" ref="AS2:AS65" si="26">IF(ISBLANK(L4),0,IF(ISNUMBER(SEARCH("Docker",L4)),1,0))</f>
        <v>0</v>
      </c>
      <c r="AT2">
        <f t="shared" ref="AT2:AT65" si="27">IF(ISBLANK(L4),0,IF(ISNUMBER(SEARCH("dbt",L4)),1,0))</f>
        <v>0</v>
      </c>
      <c r="AU2">
        <f t="shared" ref="AU2:AU65" si="28">IF(ISBLANK(L4),0,IF(ISNUMBER(SEARCH("AWS",L4)),1,0))</f>
        <v>0</v>
      </c>
      <c r="AV2">
        <f t="shared" ref="AV2:AV65" si="29">IF(ISBLANK(L4),0,IF(ISNUMBER(SEARCH("GCP",L4)),1,0))</f>
        <v>0</v>
      </c>
      <c r="AW2">
        <f t="shared" ref="AW2:AW65" si="30">IF(ISBLANK(L4),0,IF(ISNUMBER(SEARCH("Azure",L4)),1,0))</f>
        <v>0</v>
      </c>
      <c r="AX2">
        <f t="shared" ref="AX2:AX65" si="31">IF(ISBLANK(M4),0,IF(ISNUMBER(SEARCH("Tableau",L4)),1,0))</f>
        <v>0</v>
      </c>
      <c r="AY2">
        <f t="shared" ref="AY2:AY65" si="32">IF(ISBLANK(N4),0,IF(ISNUMBER(SEARCH("PowerBI",L4)),1,0))</f>
        <v>0</v>
      </c>
      <c r="AZ2" t="s">
        <v>246</v>
      </c>
    </row>
    <row r="3" spans="1:52">
      <c r="A3">
        <v>2</v>
      </c>
      <c r="B3" s="14">
        <v>46178</v>
      </c>
      <c r="C3" t="s">
        <v>1</v>
      </c>
      <c r="D3" t="s">
        <v>2</v>
      </c>
      <c r="E3" t="s">
        <v>706</v>
      </c>
      <c r="F3" t="s">
        <v>3</v>
      </c>
      <c r="G3">
        <v>3</v>
      </c>
      <c r="H3">
        <v>5</v>
      </c>
      <c r="I3" t="s">
        <v>248</v>
      </c>
      <c r="J3" t="s">
        <v>248</v>
      </c>
      <c r="K3" s="2" t="s">
        <v>705</v>
      </c>
      <c r="L3" t="s">
        <v>191</v>
      </c>
      <c r="M3" t="s">
        <v>248</v>
      </c>
      <c r="N3" t="s">
        <v>190</v>
      </c>
      <c r="O3">
        <f t="shared" si="0"/>
        <v>1</v>
      </c>
      <c r="P3">
        <f t="shared" si="1"/>
        <v>1</v>
      </c>
      <c r="Q3">
        <f t="shared" si="2"/>
        <v>0</v>
      </c>
      <c r="R3">
        <f t="shared" si="3"/>
        <v>0</v>
      </c>
      <c r="S3">
        <f t="shared" si="4"/>
        <v>1</v>
      </c>
      <c r="T3">
        <f t="shared" si="5"/>
        <v>0</v>
      </c>
      <c r="U3">
        <f t="shared" si="6"/>
        <v>0</v>
      </c>
      <c r="V3">
        <f t="shared" si="7"/>
        <v>0</v>
      </c>
      <c r="W3">
        <f t="shared" si="8"/>
        <v>0</v>
      </c>
      <c r="X3">
        <f t="shared" si="9"/>
        <v>0</v>
      </c>
      <c r="Y3">
        <f t="shared" si="10"/>
        <v>0</v>
      </c>
      <c r="Z3">
        <f t="shared" si="11"/>
        <v>0</v>
      </c>
      <c r="AA3">
        <f t="shared" si="12"/>
        <v>0</v>
      </c>
      <c r="AB3">
        <f t="shared" si="13"/>
        <v>0</v>
      </c>
      <c r="AC3">
        <f t="shared" si="14"/>
        <v>0</v>
      </c>
      <c r="AD3">
        <f t="shared" si="15"/>
        <v>0</v>
      </c>
      <c r="AE3">
        <f t="shared" si="16"/>
        <v>0</v>
      </c>
      <c r="AF3">
        <f t="shared" si="17"/>
        <v>0</v>
      </c>
      <c r="AG3">
        <f t="shared" si="18"/>
        <v>0</v>
      </c>
      <c r="AH3">
        <f t="shared" si="19"/>
        <v>0</v>
      </c>
      <c r="AI3">
        <f t="shared" si="20"/>
        <v>0</v>
      </c>
      <c r="AJ3">
        <f t="shared" si="21"/>
        <v>0</v>
      </c>
      <c r="AK3">
        <f t="shared" si="22"/>
        <v>1</v>
      </c>
      <c r="AL3">
        <f t="shared" ref="AL3:AL66" si="33">IF(ISBLANK(K3),0,IF(ISNUMBER(SEARCH("CI/CD",K3)),1,0))</f>
        <v>0</v>
      </c>
      <c r="AM3">
        <f t="shared" ref="AM3:AM66" si="34">IF(ISBLANK(L3),0,IF(ISNUMBER(SEARCH("Python",L3)),1,0))</f>
        <v>0</v>
      </c>
      <c r="AN3">
        <f t="shared" si="23"/>
        <v>0</v>
      </c>
      <c r="AO3">
        <f t="shared" si="24"/>
        <v>0</v>
      </c>
      <c r="AP3">
        <f t="shared" si="25"/>
        <v>0</v>
      </c>
      <c r="AQ3">
        <f t="shared" ref="AQ3:AQ66" si="35">IF(ISBLANK(L3),0,IF(ISNUMBER(SEARCH("ML",L3)),1,0))</f>
        <v>0</v>
      </c>
      <c r="AR3">
        <f t="shared" ref="AR3:AR66" si="36">IF(ISBLANK(L4),0,IF(ISNUMBER(SEARCH("ML",L4)),1,0))</f>
        <v>0</v>
      </c>
      <c r="AS3">
        <f t="shared" si="26"/>
        <v>0</v>
      </c>
      <c r="AT3">
        <f t="shared" si="27"/>
        <v>0</v>
      </c>
      <c r="AU3">
        <f t="shared" si="28"/>
        <v>0</v>
      </c>
      <c r="AV3">
        <f t="shared" si="29"/>
        <v>0</v>
      </c>
      <c r="AW3">
        <f t="shared" si="30"/>
        <v>0</v>
      </c>
      <c r="AX3">
        <f t="shared" si="31"/>
        <v>0</v>
      </c>
      <c r="AY3">
        <f t="shared" si="32"/>
        <v>0</v>
      </c>
      <c r="AZ3" t="s">
        <v>246</v>
      </c>
    </row>
    <row r="4" spans="1:52">
      <c r="A4">
        <v>3</v>
      </c>
      <c r="B4" s="14">
        <v>46178</v>
      </c>
      <c r="C4" t="s">
        <v>1</v>
      </c>
      <c r="D4" t="s">
        <v>7</v>
      </c>
      <c r="E4" t="s">
        <v>704</v>
      </c>
      <c r="F4" t="s">
        <v>6</v>
      </c>
      <c r="G4">
        <v>3</v>
      </c>
      <c r="H4">
        <v>5</v>
      </c>
      <c r="I4" t="s">
        <v>248</v>
      </c>
      <c r="J4" t="s">
        <v>248</v>
      </c>
      <c r="K4" t="s">
        <v>703</v>
      </c>
      <c r="L4" t="s">
        <v>191</v>
      </c>
      <c r="M4" t="s">
        <v>248</v>
      </c>
      <c r="N4" t="s">
        <v>190</v>
      </c>
      <c r="O4">
        <f t="shared" si="0"/>
        <v>0</v>
      </c>
      <c r="P4">
        <f t="shared" si="1"/>
        <v>0</v>
      </c>
      <c r="Q4">
        <f t="shared" si="2"/>
        <v>1</v>
      </c>
      <c r="R4">
        <f t="shared" si="3"/>
        <v>0</v>
      </c>
      <c r="S4">
        <f t="shared" si="4"/>
        <v>1</v>
      </c>
      <c r="T4">
        <f t="shared" si="5"/>
        <v>0</v>
      </c>
      <c r="U4">
        <f t="shared" si="6"/>
        <v>0</v>
      </c>
      <c r="V4">
        <f t="shared" si="7"/>
        <v>0</v>
      </c>
      <c r="W4">
        <f t="shared" si="8"/>
        <v>0</v>
      </c>
      <c r="X4">
        <f t="shared" si="9"/>
        <v>0</v>
      </c>
      <c r="Y4">
        <f t="shared" si="10"/>
        <v>0</v>
      </c>
      <c r="Z4">
        <f t="shared" si="11"/>
        <v>0</v>
      </c>
      <c r="AA4">
        <f t="shared" si="12"/>
        <v>0</v>
      </c>
      <c r="AB4">
        <f t="shared" si="13"/>
        <v>0</v>
      </c>
      <c r="AC4">
        <f t="shared" si="14"/>
        <v>0</v>
      </c>
      <c r="AD4">
        <f t="shared" si="15"/>
        <v>0</v>
      </c>
      <c r="AE4">
        <f t="shared" si="16"/>
        <v>0</v>
      </c>
      <c r="AF4">
        <f t="shared" si="17"/>
        <v>0</v>
      </c>
      <c r="AG4">
        <f t="shared" si="18"/>
        <v>0</v>
      </c>
      <c r="AH4">
        <f t="shared" si="19"/>
        <v>0</v>
      </c>
      <c r="AI4">
        <f t="shared" si="20"/>
        <v>0</v>
      </c>
      <c r="AJ4">
        <f t="shared" si="21"/>
        <v>0</v>
      </c>
      <c r="AK4">
        <f t="shared" si="22"/>
        <v>1</v>
      </c>
      <c r="AL4">
        <f t="shared" si="33"/>
        <v>0</v>
      </c>
      <c r="AM4">
        <f t="shared" si="34"/>
        <v>0</v>
      </c>
      <c r="AN4">
        <f t="shared" si="23"/>
        <v>0</v>
      </c>
      <c r="AO4">
        <f t="shared" si="24"/>
        <v>0</v>
      </c>
      <c r="AP4">
        <f t="shared" si="25"/>
        <v>0</v>
      </c>
      <c r="AQ4">
        <f t="shared" si="35"/>
        <v>0</v>
      </c>
      <c r="AR4">
        <f t="shared" si="36"/>
        <v>0</v>
      </c>
      <c r="AS4">
        <f t="shared" si="26"/>
        <v>0</v>
      </c>
      <c r="AT4">
        <f t="shared" si="27"/>
        <v>0</v>
      </c>
      <c r="AU4">
        <f t="shared" si="28"/>
        <v>0</v>
      </c>
      <c r="AV4">
        <f t="shared" si="29"/>
        <v>0</v>
      </c>
      <c r="AW4">
        <f t="shared" si="30"/>
        <v>0</v>
      </c>
      <c r="AX4">
        <f t="shared" si="31"/>
        <v>0</v>
      </c>
      <c r="AY4">
        <f t="shared" si="32"/>
        <v>0</v>
      </c>
      <c r="AZ4" t="s">
        <v>246</v>
      </c>
    </row>
    <row r="5" spans="1:52">
      <c r="A5">
        <v>4</v>
      </c>
      <c r="B5" s="14">
        <v>46178</v>
      </c>
      <c r="C5" t="s">
        <v>1</v>
      </c>
      <c r="D5" t="s">
        <v>8</v>
      </c>
      <c r="E5" t="s">
        <v>702</v>
      </c>
      <c r="F5" t="s">
        <v>5</v>
      </c>
      <c r="G5">
        <v>6</v>
      </c>
      <c r="H5">
        <v>10</v>
      </c>
      <c r="I5" t="s">
        <v>248</v>
      </c>
      <c r="J5" t="s">
        <v>248</v>
      </c>
      <c r="K5" t="s">
        <v>701</v>
      </c>
      <c r="L5" t="s">
        <v>191</v>
      </c>
      <c r="M5" t="s">
        <v>248</v>
      </c>
      <c r="N5" t="s">
        <v>198</v>
      </c>
      <c r="O5">
        <f t="shared" si="0"/>
        <v>0</v>
      </c>
      <c r="P5">
        <f t="shared" si="1"/>
        <v>1</v>
      </c>
      <c r="Q5">
        <f t="shared" si="2"/>
        <v>0</v>
      </c>
      <c r="R5">
        <f t="shared" si="3"/>
        <v>0</v>
      </c>
      <c r="S5">
        <f t="shared" si="4"/>
        <v>0</v>
      </c>
      <c r="T5">
        <f t="shared" si="5"/>
        <v>0</v>
      </c>
      <c r="U5">
        <f t="shared" si="6"/>
        <v>1</v>
      </c>
      <c r="V5">
        <f t="shared" si="7"/>
        <v>0</v>
      </c>
      <c r="W5">
        <f t="shared" si="8"/>
        <v>0</v>
      </c>
      <c r="X5">
        <f t="shared" si="9"/>
        <v>0</v>
      </c>
      <c r="Y5">
        <f t="shared" si="10"/>
        <v>0</v>
      </c>
      <c r="Z5">
        <f t="shared" si="11"/>
        <v>0</v>
      </c>
      <c r="AA5">
        <f t="shared" si="12"/>
        <v>1</v>
      </c>
      <c r="AB5">
        <f t="shared" si="13"/>
        <v>0</v>
      </c>
      <c r="AC5">
        <f t="shared" si="14"/>
        <v>1</v>
      </c>
      <c r="AD5">
        <f t="shared" si="15"/>
        <v>0</v>
      </c>
      <c r="AE5">
        <f t="shared" si="16"/>
        <v>0</v>
      </c>
      <c r="AF5">
        <f t="shared" si="17"/>
        <v>0</v>
      </c>
      <c r="AG5">
        <f t="shared" si="18"/>
        <v>0</v>
      </c>
      <c r="AH5">
        <f t="shared" si="19"/>
        <v>0</v>
      </c>
      <c r="AI5">
        <f t="shared" si="20"/>
        <v>0</v>
      </c>
      <c r="AJ5">
        <f t="shared" si="21"/>
        <v>0</v>
      </c>
      <c r="AK5">
        <f t="shared" si="22"/>
        <v>0</v>
      </c>
      <c r="AL5">
        <f t="shared" si="33"/>
        <v>0</v>
      </c>
      <c r="AM5">
        <f t="shared" si="34"/>
        <v>0</v>
      </c>
      <c r="AN5">
        <f t="shared" si="23"/>
        <v>0</v>
      </c>
      <c r="AO5">
        <f t="shared" si="24"/>
        <v>0</v>
      </c>
      <c r="AP5">
        <f t="shared" si="25"/>
        <v>0</v>
      </c>
      <c r="AQ5">
        <f t="shared" si="35"/>
        <v>0</v>
      </c>
      <c r="AR5">
        <f t="shared" si="36"/>
        <v>0</v>
      </c>
      <c r="AS5">
        <f t="shared" si="26"/>
        <v>0</v>
      </c>
      <c r="AT5">
        <f t="shared" si="27"/>
        <v>0</v>
      </c>
      <c r="AU5">
        <f t="shared" si="28"/>
        <v>0</v>
      </c>
      <c r="AV5">
        <f t="shared" si="29"/>
        <v>0</v>
      </c>
      <c r="AW5">
        <f t="shared" si="30"/>
        <v>0</v>
      </c>
      <c r="AX5">
        <f t="shared" si="31"/>
        <v>0</v>
      </c>
      <c r="AY5">
        <f t="shared" si="32"/>
        <v>0</v>
      </c>
      <c r="AZ5" t="s">
        <v>246</v>
      </c>
    </row>
    <row r="6" spans="1:52">
      <c r="A6">
        <v>5</v>
      </c>
      <c r="B6" s="14">
        <v>46178</v>
      </c>
      <c r="C6" t="s">
        <v>1</v>
      </c>
      <c r="D6" t="s">
        <v>9</v>
      </c>
      <c r="E6" t="s">
        <v>700</v>
      </c>
      <c r="F6" t="s">
        <v>5</v>
      </c>
      <c r="G6">
        <v>5</v>
      </c>
      <c r="H6">
        <v>10</v>
      </c>
      <c r="I6" t="s">
        <v>248</v>
      </c>
      <c r="J6" t="s">
        <v>248</v>
      </c>
      <c r="K6" t="s">
        <v>699</v>
      </c>
      <c r="L6" t="s">
        <v>191</v>
      </c>
      <c r="M6" t="s">
        <v>10</v>
      </c>
      <c r="N6" t="s">
        <v>198</v>
      </c>
      <c r="O6">
        <f t="shared" si="0"/>
        <v>1</v>
      </c>
      <c r="P6">
        <f t="shared" si="1"/>
        <v>1</v>
      </c>
      <c r="Q6">
        <f t="shared" si="2"/>
        <v>1</v>
      </c>
      <c r="R6">
        <f t="shared" si="3"/>
        <v>0</v>
      </c>
      <c r="S6">
        <f t="shared" si="4"/>
        <v>0</v>
      </c>
      <c r="T6">
        <f t="shared" si="5"/>
        <v>0</v>
      </c>
      <c r="U6">
        <f t="shared" si="6"/>
        <v>0</v>
      </c>
      <c r="V6">
        <f t="shared" si="7"/>
        <v>0</v>
      </c>
      <c r="W6">
        <f t="shared" si="8"/>
        <v>0</v>
      </c>
      <c r="X6">
        <f t="shared" si="9"/>
        <v>0</v>
      </c>
      <c r="Y6">
        <f t="shared" si="10"/>
        <v>0</v>
      </c>
      <c r="Z6">
        <f t="shared" si="11"/>
        <v>0</v>
      </c>
      <c r="AA6">
        <f t="shared" si="12"/>
        <v>0</v>
      </c>
      <c r="AB6">
        <f t="shared" si="13"/>
        <v>0</v>
      </c>
      <c r="AC6">
        <f t="shared" si="14"/>
        <v>1</v>
      </c>
      <c r="AD6">
        <f t="shared" si="15"/>
        <v>0</v>
      </c>
      <c r="AE6">
        <f t="shared" si="16"/>
        <v>0</v>
      </c>
      <c r="AF6">
        <f t="shared" si="17"/>
        <v>0</v>
      </c>
      <c r="AG6">
        <f t="shared" si="18"/>
        <v>0</v>
      </c>
      <c r="AH6">
        <f t="shared" si="19"/>
        <v>0</v>
      </c>
      <c r="AI6">
        <f t="shared" si="20"/>
        <v>0</v>
      </c>
      <c r="AJ6">
        <f t="shared" si="21"/>
        <v>0</v>
      </c>
      <c r="AK6">
        <f t="shared" si="22"/>
        <v>0</v>
      </c>
      <c r="AL6">
        <f t="shared" si="33"/>
        <v>0</v>
      </c>
      <c r="AM6">
        <f t="shared" si="34"/>
        <v>0</v>
      </c>
      <c r="AN6">
        <f t="shared" si="23"/>
        <v>0</v>
      </c>
      <c r="AO6">
        <f t="shared" si="24"/>
        <v>0</v>
      </c>
      <c r="AP6">
        <f t="shared" si="25"/>
        <v>0</v>
      </c>
      <c r="AQ6">
        <f t="shared" si="35"/>
        <v>0</v>
      </c>
      <c r="AR6">
        <f t="shared" si="36"/>
        <v>0</v>
      </c>
      <c r="AS6">
        <f t="shared" si="26"/>
        <v>0</v>
      </c>
      <c r="AT6">
        <f t="shared" si="27"/>
        <v>0</v>
      </c>
      <c r="AU6">
        <f t="shared" si="28"/>
        <v>0</v>
      </c>
      <c r="AV6">
        <f t="shared" si="29"/>
        <v>0</v>
      </c>
      <c r="AW6">
        <f t="shared" si="30"/>
        <v>0</v>
      </c>
      <c r="AX6">
        <f t="shared" si="31"/>
        <v>0</v>
      </c>
      <c r="AY6">
        <f t="shared" si="32"/>
        <v>0</v>
      </c>
      <c r="AZ6" t="s">
        <v>246</v>
      </c>
    </row>
    <row r="7" spans="1:52">
      <c r="A7">
        <v>6</v>
      </c>
      <c r="B7" s="14">
        <v>46178</v>
      </c>
      <c r="C7" t="s">
        <v>1</v>
      </c>
      <c r="D7" t="s">
        <v>2</v>
      </c>
      <c r="E7" t="s">
        <v>698</v>
      </c>
      <c r="F7" t="s">
        <v>3</v>
      </c>
      <c r="G7">
        <v>2</v>
      </c>
      <c r="H7">
        <v>4</v>
      </c>
      <c r="I7" t="s">
        <v>248</v>
      </c>
      <c r="J7" t="s">
        <v>248</v>
      </c>
      <c r="K7" t="s">
        <v>697</v>
      </c>
      <c r="L7" t="s">
        <v>696</v>
      </c>
      <c r="M7" t="s">
        <v>11</v>
      </c>
      <c r="N7" t="s">
        <v>202</v>
      </c>
      <c r="O7">
        <f t="shared" si="0"/>
        <v>1</v>
      </c>
      <c r="P7">
        <f t="shared" si="1"/>
        <v>1</v>
      </c>
      <c r="Q7">
        <f t="shared" si="2"/>
        <v>1</v>
      </c>
      <c r="R7">
        <f t="shared" si="3"/>
        <v>0</v>
      </c>
      <c r="S7">
        <f t="shared" si="4"/>
        <v>0</v>
      </c>
      <c r="T7">
        <f t="shared" si="5"/>
        <v>0</v>
      </c>
      <c r="U7">
        <f t="shared" si="6"/>
        <v>0</v>
      </c>
      <c r="V7">
        <f t="shared" si="7"/>
        <v>0</v>
      </c>
      <c r="W7">
        <f t="shared" si="8"/>
        <v>0</v>
      </c>
      <c r="X7">
        <f t="shared" si="9"/>
        <v>0</v>
      </c>
      <c r="Y7">
        <f t="shared" si="10"/>
        <v>1</v>
      </c>
      <c r="Z7">
        <f t="shared" si="11"/>
        <v>1</v>
      </c>
      <c r="AA7">
        <f t="shared" si="12"/>
        <v>0</v>
      </c>
      <c r="AB7">
        <f t="shared" si="13"/>
        <v>0</v>
      </c>
      <c r="AC7">
        <f t="shared" si="14"/>
        <v>0</v>
      </c>
      <c r="AD7">
        <f t="shared" si="15"/>
        <v>0</v>
      </c>
      <c r="AE7">
        <f t="shared" si="16"/>
        <v>0</v>
      </c>
      <c r="AF7">
        <f t="shared" si="17"/>
        <v>0</v>
      </c>
      <c r="AG7">
        <f t="shared" si="18"/>
        <v>0</v>
      </c>
      <c r="AH7">
        <f t="shared" si="19"/>
        <v>0</v>
      </c>
      <c r="AI7">
        <f t="shared" si="20"/>
        <v>0</v>
      </c>
      <c r="AJ7">
        <f t="shared" si="21"/>
        <v>0</v>
      </c>
      <c r="AK7">
        <f t="shared" si="22"/>
        <v>0</v>
      </c>
      <c r="AL7">
        <f t="shared" si="33"/>
        <v>0</v>
      </c>
      <c r="AM7">
        <f t="shared" si="34"/>
        <v>0</v>
      </c>
      <c r="AN7">
        <f t="shared" si="23"/>
        <v>0</v>
      </c>
      <c r="AO7">
        <f t="shared" si="24"/>
        <v>0</v>
      </c>
      <c r="AP7">
        <f t="shared" si="25"/>
        <v>1</v>
      </c>
      <c r="AQ7">
        <f t="shared" si="35"/>
        <v>0</v>
      </c>
      <c r="AR7">
        <f t="shared" si="36"/>
        <v>0</v>
      </c>
      <c r="AS7">
        <f t="shared" si="26"/>
        <v>0</v>
      </c>
      <c r="AT7">
        <f t="shared" si="27"/>
        <v>0</v>
      </c>
      <c r="AU7">
        <f t="shared" si="28"/>
        <v>0</v>
      </c>
      <c r="AV7">
        <f t="shared" si="29"/>
        <v>0</v>
      </c>
      <c r="AW7">
        <f t="shared" si="30"/>
        <v>0</v>
      </c>
      <c r="AX7">
        <f t="shared" si="31"/>
        <v>0</v>
      </c>
      <c r="AY7">
        <f t="shared" si="32"/>
        <v>0</v>
      </c>
      <c r="AZ7" t="s">
        <v>246</v>
      </c>
    </row>
    <row r="8" spans="1:52">
      <c r="A8">
        <v>7</v>
      </c>
      <c r="B8" s="14">
        <v>46178</v>
      </c>
      <c r="C8" t="s">
        <v>1</v>
      </c>
      <c r="D8" t="s">
        <v>7</v>
      </c>
      <c r="E8" t="s">
        <v>695</v>
      </c>
      <c r="F8" t="s">
        <v>3</v>
      </c>
      <c r="G8" t="s">
        <v>248</v>
      </c>
      <c r="H8" t="s">
        <v>248</v>
      </c>
      <c r="I8" t="s">
        <v>248</v>
      </c>
      <c r="J8" t="s">
        <v>248</v>
      </c>
      <c r="K8" t="s">
        <v>457</v>
      </c>
      <c r="L8" t="s">
        <v>191</v>
      </c>
      <c r="M8" t="s">
        <v>11</v>
      </c>
      <c r="N8" t="s">
        <v>202</v>
      </c>
      <c r="O8">
        <f t="shared" si="0"/>
        <v>1</v>
      </c>
      <c r="P8">
        <f t="shared" si="1"/>
        <v>0</v>
      </c>
      <c r="Q8">
        <f t="shared" si="2"/>
        <v>0</v>
      </c>
      <c r="R8">
        <f t="shared" si="3"/>
        <v>0</v>
      </c>
      <c r="S8">
        <f t="shared" si="4"/>
        <v>1</v>
      </c>
      <c r="T8">
        <f t="shared" si="5"/>
        <v>0</v>
      </c>
      <c r="U8">
        <f t="shared" si="6"/>
        <v>0</v>
      </c>
      <c r="V8">
        <f t="shared" si="7"/>
        <v>0</v>
      </c>
      <c r="W8">
        <f t="shared" si="8"/>
        <v>0</v>
      </c>
      <c r="X8">
        <f t="shared" si="9"/>
        <v>0</v>
      </c>
      <c r="Y8">
        <f t="shared" si="10"/>
        <v>0</v>
      </c>
      <c r="Z8">
        <f t="shared" si="11"/>
        <v>0</v>
      </c>
      <c r="AA8">
        <f t="shared" si="12"/>
        <v>0</v>
      </c>
      <c r="AB8">
        <f t="shared" si="13"/>
        <v>0</v>
      </c>
      <c r="AC8">
        <f t="shared" si="14"/>
        <v>0</v>
      </c>
      <c r="AD8">
        <f t="shared" si="15"/>
        <v>0</v>
      </c>
      <c r="AE8">
        <f t="shared" si="16"/>
        <v>0</v>
      </c>
      <c r="AF8">
        <f t="shared" si="17"/>
        <v>0</v>
      </c>
      <c r="AG8">
        <f t="shared" si="18"/>
        <v>0</v>
      </c>
      <c r="AH8">
        <f t="shared" si="19"/>
        <v>0</v>
      </c>
      <c r="AI8">
        <f t="shared" si="20"/>
        <v>0</v>
      </c>
      <c r="AJ8">
        <f t="shared" si="21"/>
        <v>0</v>
      </c>
      <c r="AK8">
        <f t="shared" si="22"/>
        <v>0</v>
      </c>
      <c r="AL8">
        <f t="shared" si="33"/>
        <v>0</v>
      </c>
      <c r="AM8">
        <f t="shared" si="34"/>
        <v>0</v>
      </c>
      <c r="AN8">
        <f t="shared" si="23"/>
        <v>0</v>
      </c>
      <c r="AO8">
        <f t="shared" si="24"/>
        <v>0</v>
      </c>
      <c r="AP8">
        <f t="shared" si="25"/>
        <v>0</v>
      </c>
      <c r="AQ8">
        <f t="shared" si="35"/>
        <v>0</v>
      </c>
      <c r="AR8">
        <f t="shared" si="36"/>
        <v>0</v>
      </c>
      <c r="AS8">
        <f t="shared" si="26"/>
        <v>0</v>
      </c>
      <c r="AT8">
        <f t="shared" si="27"/>
        <v>0</v>
      </c>
      <c r="AU8">
        <f t="shared" si="28"/>
        <v>0</v>
      </c>
      <c r="AV8">
        <f t="shared" si="29"/>
        <v>0</v>
      </c>
      <c r="AW8">
        <f t="shared" si="30"/>
        <v>0</v>
      </c>
      <c r="AX8">
        <f t="shared" si="31"/>
        <v>0</v>
      </c>
      <c r="AY8">
        <f t="shared" si="32"/>
        <v>0</v>
      </c>
      <c r="AZ8" t="s">
        <v>246</v>
      </c>
    </row>
    <row r="9" spans="1:52">
      <c r="A9">
        <v>8</v>
      </c>
      <c r="B9" s="14">
        <v>46178</v>
      </c>
      <c r="C9" t="s">
        <v>1</v>
      </c>
      <c r="D9" t="s">
        <v>2</v>
      </c>
      <c r="E9" t="s">
        <v>694</v>
      </c>
      <c r="F9" t="s">
        <v>12</v>
      </c>
      <c r="G9">
        <v>3</v>
      </c>
      <c r="H9" t="s">
        <v>191</v>
      </c>
      <c r="I9" t="s">
        <v>248</v>
      </c>
      <c r="J9" t="s">
        <v>248</v>
      </c>
      <c r="K9" t="s">
        <v>693</v>
      </c>
      <c r="L9" t="s">
        <v>692</v>
      </c>
      <c r="M9" t="s">
        <v>11</v>
      </c>
      <c r="N9" t="s">
        <v>206</v>
      </c>
      <c r="O9">
        <f t="shared" si="0"/>
        <v>1</v>
      </c>
      <c r="P9">
        <f t="shared" si="1"/>
        <v>1</v>
      </c>
      <c r="Q9">
        <f t="shared" si="2"/>
        <v>0</v>
      </c>
      <c r="R9">
        <f t="shared" si="3"/>
        <v>0</v>
      </c>
      <c r="S9">
        <f t="shared" si="4"/>
        <v>0</v>
      </c>
      <c r="T9">
        <f t="shared" si="5"/>
        <v>0</v>
      </c>
      <c r="U9">
        <f t="shared" si="6"/>
        <v>0</v>
      </c>
      <c r="V9">
        <f t="shared" si="7"/>
        <v>0</v>
      </c>
      <c r="W9">
        <f t="shared" si="8"/>
        <v>0</v>
      </c>
      <c r="X9">
        <f t="shared" si="9"/>
        <v>0</v>
      </c>
      <c r="Y9">
        <f t="shared" si="10"/>
        <v>0</v>
      </c>
      <c r="Z9">
        <f t="shared" si="11"/>
        <v>0</v>
      </c>
      <c r="AA9">
        <f t="shared" si="12"/>
        <v>1</v>
      </c>
      <c r="AB9">
        <f t="shared" si="13"/>
        <v>0</v>
      </c>
      <c r="AC9">
        <f t="shared" si="14"/>
        <v>0</v>
      </c>
      <c r="AD9">
        <f t="shared" si="15"/>
        <v>0</v>
      </c>
      <c r="AE9">
        <f t="shared" si="16"/>
        <v>0</v>
      </c>
      <c r="AF9">
        <f t="shared" si="17"/>
        <v>0</v>
      </c>
      <c r="AG9">
        <f t="shared" si="18"/>
        <v>0</v>
      </c>
      <c r="AH9">
        <f t="shared" si="19"/>
        <v>0</v>
      </c>
      <c r="AI9">
        <f t="shared" si="20"/>
        <v>0</v>
      </c>
      <c r="AJ9">
        <f t="shared" si="21"/>
        <v>0</v>
      </c>
      <c r="AK9">
        <f t="shared" si="22"/>
        <v>0</v>
      </c>
      <c r="AL9">
        <f t="shared" si="33"/>
        <v>0</v>
      </c>
      <c r="AM9">
        <f t="shared" si="34"/>
        <v>0</v>
      </c>
      <c r="AN9">
        <f t="shared" si="23"/>
        <v>0</v>
      </c>
      <c r="AO9">
        <f t="shared" si="24"/>
        <v>0</v>
      </c>
      <c r="AP9">
        <f t="shared" si="25"/>
        <v>0</v>
      </c>
      <c r="AQ9">
        <f t="shared" si="35"/>
        <v>0</v>
      </c>
      <c r="AR9">
        <f t="shared" si="36"/>
        <v>0</v>
      </c>
      <c r="AS9">
        <f t="shared" si="26"/>
        <v>0</v>
      </c>
      <c r="AT9">
        <f t="shared" si="27"/>
        <v>0</v>
      </c>
      <c r="AU9">
        <f t="shared" si="28"/>
        <v>0</v>
      </c>
      <c r="AV9">
        <f t="shared" si="29"/>
        <v>0</v>
      </c>
      <c r="AW9">
        <f t="shared" si="30"/>
        <v>0</v>
      </c>
      <c r="AX9">
        <f t="shared" si="31"/>
        <v>0</v>
      </c>
      <c r="AY9">
        <f t="shared" si="32"/>
        <v>0</v>
      </c>
      <c r="AZ9" t="s">
        <v>246</v>
      </c>
    </row>
    <row r="10" spans="1:52">
      <c r="A10">
        <v>9</v>
      </c>
      <c r="B10" s="14">
        <v>46178</v>
      </c>
      <c r="C10" t="s">
        <v>1</v>
      </c>
      <c r="D10" t="s">
        <v>2</v>
      </c>
      <c r="E10" t="s">
        <v>691</v>
      </c>
      <c r="F10" t="s">
        <v>3</v>
      </c>
      <c r="G10">
        <v>2</v>
      </c>
      <c r="H10">
        <v>5</v>
      </c>
      <c r="I10" t="s">
        <v>248</v>
      </c>
      <c r="J10" t="s">
        <v>248</v>
      </c>
      <c r="K10" t="s">
        <v>690</v>
      </c>
      <c r="L10" t="s">
        <v>689</v>
      </c>
      <c r="M10" t="s">
        <v>11</v>
      </c>
      <c r="N10" t="s">
        <v>206</v>
      </c>
      <c r="O10">
        <f t="shared" si="0"/>
        <v>1</v>
      </c>
      <c r="P10">
        <f t="shared" si="1"/>
        <v>0</v>
      </c>
      <c r="Q10">
        <f t="shared" si="2"/>
        <v>1</v>
      </c>
      <c r="R10">
        <f t="shared" si="3"/>
        <v>1</v>
      </c>
      <c r="S10">
        <f t="shared" si="4"/>
        <v>0</v>
      </c>
      <c r="T10">
        <f t="shared" si="5"/>
        <v>0</v>
      </c>
      <c r="U10">
        <f t="shared" si="6"/>
        <v>1</v>
      </c>
      <c r="V10">
        <f t="shared" si="7"/>
        <v>0</v>
      </c>
      <c r="W10">
        <f t="shared" si="8"/>
        <v>0</v>
      </c>
      <c r="X10">
        <f t="shared" si="9"/>
        <v>0</v>
      </c>
      <c r="Y10">
        <f t="shared" si="10"/>
        <v>0</v>
      </c>
      <c r="Z10">
        <f t="shared" si="11"/>
        <v>0</v>
      </c>
      <c r="AA10">
        <f t="shared" si="12"/>
        <v>0</v>
      </c>
      <c r="AB10">
        <f t="shared" si="13"/>
        <v>0</v>
      </c>
      <c r="AC10">
        <f t="shared" si="14"/>
        <v>0</v>
      </c>
      <c r="AD10">
        <f t="shared" si="15"/>
        <v>1</v>
      </c>
      <c r="AE10">
        <f t="shared" si="16"/>
        <v>0</v>
      </c>
      <c r="AF10">
        <f t="shared" si="17"/>
        <v>0</v>
      </c>
      <c r="AG10">
        <f t="shared" si="18"/>
        <v>1</v>
      </c>
      <c r="AH10">
        <f t="shared" si="19"/>
        <v>0</v>
      </c>
      <c r="AI10">
        <f t="shared" si="20"/>
        <v>0</v>
      </c>
      <c r="AJ10">
        <f t="shared" si="21"/>
        <v>0</v>
      </c>
      <c r="AK10">
        <f t="shared" si="22"/>
        <v>0</v>
      </c>
      <c r="AL10">
        <f t="shared" si="33"/>
        <v>0</v>
      </c>
      <c r="AM10">
        <f t="shared" si="34"/>
        <v>1</v>
      </c>
      <c r="AN10">
        <f t="shared" si="23"/>
        <v>0</v>
      </c>
      <c r="AO10">
        <f t="shared" si="24"/>
        <v>0</v>
      </c>
      <c r="AP10">
        <f t="shared" si="25"/>
        <v>0</v>
      </c>
      <c r="AQ10">
        <f t="shared" si="35"/>
        <v>0</v>
      </c>
      <c r="AR10">
        <f t="shared" si="36"/>
        <v>0</v>
      </c>
      <c r="AS10">
        <f t="shared" si="26"/>
        <v>0</v>
      </c>
      <c r="AT10">
        <f t="shared" si="27"/>
        <v>0</v>
      </c>
      <c r="AU10">
        <f t="shared" si="28"/>
        <v>0</v>
      </c>
      <c r="AV10">
        <f t="shared" si="29"/>
        <v>0</v>
      </c>
      <c r="AW10">
        <f t="shared" si="30"/>
        <v>0</v>
      </c>
      <c r="AX10">
        <f t="shared" si="31"/>
        <v>0</v>
      </c>
      <c r="AY10">
        <f t="shared" si="32"/>
        <v>0</v>
      </c>
      <c r="AZ10" t="s">
        <v>246</v>
      </c>
    </row>
    <row r="11" spans="1:52">
      <c r="A11">
        <v>10</v>
      </c>
      <c r="B11" s="14">
        <v>46178</v>
      </c>
      <c r="C11" t="s">
        <v>1</v>
      </c>
      <c r="D11" t="s">
        <v>4</v>
      </c>
      <c r="E11" t="s">
        <v>688</v>
      </c>
      <c r="F11" t="s">
        <v>6</v>
      </c>
      <c r="G11" t="s">
        <v>248</v>
      </c>
      <c r="H11" t="s">
        <v>248</v>
      </c>
      <c r="I11" t="s">
        <v>248</v>
      </c>
      <c r="J11" t="s">
        <v>248</v>
      </c>
      <c r="K11" t="s">
        <v>687</v>
      </c>
      <c r="L11" t="s">
        <v>191</v>
      </c>
      <c r="M11" t="s">
        <v>11</v>
      </c>
      <c r="N11" t="s">
        <v>206</v>
      </c>
      <c r="O11">
        <f t="shared" si="0"/>
        <v>0</v>
      </c>
      <c r="P11">
        <f t="shared" si="1"/>
        <v>1</v>
      </c>
      <c r="Q11">
        <f t="shared" si="2"/>
        <v>1</v>
      </c>
      <c r="R11">
        <f t="shared" si="3"/>
        <v>0</v>
      </c>
      <c r="S11">
        <f t="shared" si="4"/>
        <v>1</v>
      </c>
      <c r="T11">
        <f t="shared" si="5"/>
        <v>0</v>
      </c>
      <c r="U11">
        <f t="shared" si="6"/>
        <v>0</v>
      </c>
      <c r="V11">
        <f t="shared" si="7"/>
        <v>0</v>
      </c>
      <c r="W11">
        <f t="shared" si="8"/>
        <v>0</v>
      </c>
      <c r="X11">
        <f t="shared" si="9"/>
        <v>0</v>
      </c>
      <c r="Y11">
        <f t="shared" si="10"/>
        <v>0</v>
      </c>
      <c r="Z11">
        <f t="shared" si="11"/>
        <v>0</v>
      </c>
      <c r="AA11">
        <f t="shared" si="12"/>
        <v>0</v>
      </c>
      <c r="AB11">
        <f t="shared" si="13"/>
        <v>0</v>
      </c>
      <c r="AC11">
        <f t="shared" si="14"/>
        <v>0</v>
      </c>
      <c r="AD11">
        <f t="shared" si="15"/>
        <v>0</v>
      </c>
      <c r="AE11">
        <f t="shared" si="16"/>
        <v>1</v>
      </c>
      <c r="AF11">
        <f t="shared" si="17"/>
        <v>0</v>
      </c>
      <c r="AG11">
        <f t="shared" si="18"/>
        <v>0</v>
      </c>
      <c r="AH11">
        <f t="shared" si="19"/>
        <v>0</v>
      </c>
      <c r="AI11">
        <f t="shared" si="20"/>
        <v>0</v>
      </c>
      <c r="AJ11">
        <f t="shared" si="21"/>
        <v>0</v>
      </c>
      <c r="AK11">
        <f t="shared" si="22"/>
        <v>0</v>
      </c>
      <c r="AL11">
        <f t="shared" si="33"/>
        <v>0</v>
      </c>
      <c r="AM11">
        <f t="shared" si="34"/>
        <v>0</v>
      </c>
      <c r="AN11">
        <f t="shared" si="23"/>
        <v>0</v>
      </c>
      <c r="AO11">
        <f t="shared" si="24"/>
        <v>0</v>
      </c>
      <c r="AP11">
        <f t="shared" si="25"/>
        <v>0</v>
      </c>
      <c r="AQ11">
        <f t="shared" si="35"/>
        <v>0</v>
      </c>
      <c r="AR11">
        <f t="shared" si="36"/>
        <v>0</v>
      </c>
      <c r="AS11">
        <f t="shared" si="26"/>
        <v>0</v>
      </c>
      <c r="AT11">
        <f t="shared" si="27"/>
        <v>0</v>
      </c>
      <c r="AU11">
        <f t="shared" si="28"/>
        <v>0</v>
      </c>
      <c r="AV11">
        <f t="shared" si="29"/>
        <v>0</v>
      </c>
      <c r="AW11">
        <f t="shared" si="30"/>
        <v>0</v>
      </c>
      <c r="AX11">
        <f t="shared" si="31"/>
        <v>0</v>
      </c>
      <c r="AY11">
        <f t="shared" si="32"/>
        <v>0</v>
      </c>
      <c r="AZ11" t="s">
        <v>246</v>
      </c>
    </row>
    <row r="12" spans="1:52">
      <c r="A12">
        <v>11</v>
      </c>
      <c r="B12" s="14">
        <v>46178</v>
      </c>
      <c r="C12" t="s">
        <v>1</v>
      </c>
      <c r="D12" t="s">
        <v>2</v>
      </c>
      <c r="E12" t="s">
        <v>686</v>
      </c>
      <c r="F12" t="s">
        <v>5</v>
      </c>
      <c r="G12">
        <v>2</v>
      </c>
      <c r="H12" t="s">
        <v>248</v>
      </c>
      <c r="I12" t="s">
        <v>248</v>
      </c>
      <c r="J12" t="s">
        <v>248</v>
      </c>
      <c r="K12" t="s">
        <v>685</v>
      </c>
      <c r="L12" t="s">
        <v>684</v>
      </c>
      <c r="M12" t="s">
        <v>11</v>
      </c>
      <c r="N12" t="s">
        <v>206</v>
      </c>
      <c r="O12">
        <f t="shared" si="0"/>
        <v>1</v>
      </c>
      <c r="P12">
        <f t="shared" si="1"/>
        <v>1</v>
      </c>
      <c r="Q12">
        <f t="shared" si="2"/>
        <v>0</v>
      </c>
      <c r="R12">
        <f t="shared" si="3"/>
        <v>0</v>
      </c>
      <c r="S12">
        <f t="shared" si="4"/>
        <v>0</v>
      </c>
      <c r="T12">
        <f t="shared" si="5"/>
        <v>0</v>
      </c>
      <c r="U12">
        <f t="shared" si="6"/>
        <v>0</v>
      </c>
      <c r="V12">
        <f t="shared" si="7"/>
        <v>0</v>
      </c>
      <c r="W12">
        <f t="shared" si="8"/>
        <v>0</v>
      </c>
      <c r="X12">
        <f t="shared" si="9"/>
        <v>0</v>
      </c>
      <c r="Y12">
        <f t="shared" si="10"/>
        <v>0</v>
      </c>
      <c r="Z12">
        <f t="shared" si="11"/>
        <v>0</v>
      </c>
      <c r="AA12">
        <f t="shared" si="12"/>
        <v>0</v>
      </c>
      <c r="AB12">
        <f t="shared" si="13"/>
        <v>0</v>
      </c>
      <c r="AC12">
        <f t="shared" si="14"/>
        <v>0</v>
      </c>
      <c r="AD12">
        <f t="shared" si="15"/>
        <v>0</v>
      </c>
      <c r="AE12">
        <f t="shared" si="16"/>
        <v>0</v>
      </c>
      <c r="AF12">
        <f t="shared" si="17"/>
        <v>0</v>
      </c>
      <c r="AG12">
        <f t="shared" si="18"/>
        <v>0</v>
      </c>
      <c r="AH12">
        <f t="shared" si="19"/>
        <v>0</v>
      </c>
      <c r="AI12">
        <f t="shared" si="20"/>
        <v>0</v>
      </c>
      <c r="AJ12">
        <f t="shared" si="21"/>
        <v>0</v>
      </c>
      <c r="AK12">
        <f t="shared" si="22"/>
        <v>0</v>
      </c>
      <c r="AL12">
        <f t="shared" si="33"/>
        <v>0</v>
      </c>
      <c r="AM12">
        <f t="shared" si="34"/>
        <v>0</v>
      </c>
      <c r="AN12">
        <f t="shared" si="23"/>
        <v>0</v>
      </c>
      <c r="AO12">
        <f t="shared" si="24"/>
        <v>0</v>
      </c>
      <c r="AP12">
        <f t="shared" si="25"/>
        <v>0</v>
      </c>
      <c r="AQ12">
        <f t="shared" si="35"/>
        <v>0</v>
      </c>
      <c r="AR12">
        <f t="shared" si="36"/>
        <v>0</v>
      </c>
      <c r="AS12">
        <f t="shared" si="26"/>
        <v>0</v>
      </c>
      <c r="AT12">
        <f t="shared" si="27"/>
        <v>0</v>
      </c>
      <c r="AU12">
        <f t="shared" si="28"/>
        <v>0</v>
      </c>
      <c r="AV12">
        <f t="shared" si="29"/>
        <v>0</v>
      </c>
      <c r="AW12">
        <f t="shared" si="30"/>
        <v>1</v>
      </c>
      <c r="AX12">
        <f t="shared" si="31"/>
        <v>0</v>
      </c>
      <c r="AY12">
        <f t="shared" si="32"/>
        <v>0</v>
      </c>
      <c r="AZ12" t="s">
        <v>246</v>
      </c>
    </row>
    <row r="13" spans="1:52">
      <c r="A13">
        <v>12</v>
      </c>
      <c r="B13" s="14">
        <v>46178</v>
      </c>
      <c r="C13" t="s">
        <v>1</v>
      </c>
      <c r="D13" t="s">
        <v>2</v>
      </c>
      <c r="E13" t="s">
        <v>683</v>
      </c>
      <c r="F13" t="s">
        <v>13</v>
      </c>
      <c r="G13">
        <v>5</v>
      </c>
      <c r="H13">
        <v>8</v>
      </c>
      <c r="I13" t="s">
        <v>248</v>
      </c>
      <c r="J13" t="s">
        <v>248</v>
      </c>
      <c r="K13" t="s">
        <v>682</v>
      </c>
      <c r="L13" t="s">
        <v>681</v>
      </c>
      <c r="M13" t="s">
        <v>11</v>
      </c>
      <c r="N13" t="s">
        <v>206</v>
      </c>
      <c r="O13">
        <f t="shared" si="0"/>
        <v>1</v>
      </c>
      <c r="P13">
        <f t="shared" si="1"/>
        <v>0</v>
      </c>
      <c r="Q13">
        <f t="shared" si="2"/>
        <v>0</v>
      </c>
      <c r="R13">
        <f t="shared" si="3"/>
        <v>0</v>
      </c>
      <c r="S13">
        <f t="shared" si="4"/>
        <v>0</v>
      </c>
      <c r="T13">
        <f t="shared" si="5"/>
        <v>0</v>
      </c>
      <c r="U13">
        <f t="shared" si="6"/>
        <v>0</v>
      </c>
      <c r="V13">
        <f t="shared" si="7"/>
        <v>0</v>
      </c>
      <c r="W13">
        <f t="shared" si="8"/>
        <v>0</v>
      </c>
      <c r="X13">
        <f t="shared" si="9"/>
        <v>0</v>
      </c>
      <c r="Y13">
        <f t="shared" si="10"/>
        <v>0</v>
      </c>
      <c r="Z13">
        <f t="shared" si="11"/>
        <v>0</v>
      </c>
      <c r="AA13">
        <f t="shared" si="12"/>
        <v>0</v>
      </c>
      <c r="AB13">
        <f t="shared" si="13"/>
        <v>0</v>
      </c>
      <c r="AC13">
        <f t="shared" si="14"/>
        <v>1</v>
      </c>
      <c r="AD13">
        <f t="shared" si="15"/>
        <v>0</v>
      </c>
      <c r="AE13">
        <f t="shared" si="16"/>
        <v>0</v>
      </c>
      <c r="AF13">
        <f t="shared" si="17"/>
        <v>0</v>
      </c>
      <c r="AG13">
        <f t="shared" si="18"/>
        <v>0</v>
      </c>
      <c r="AH13">
        <f t="shared" si="19"/>
        <v>0</v>
      </c>
      <c r="AI13">
        <f t="shared" si="20"/>
        <v>0</v>
      </c>
      <c r="AJ13">
        <f t="shared" si="21"/>
        <v>0</v>
      </c>
      <c r="AK13">
        <f t="shared" si="22"/>
        <v>0</v>
      </c>
      <c r="AL13">
        <f t="shared" si="33"/>
        <v>0</v>
      </c>
      <c r="AM13">
        <f t="shared" si="34"/>
        <v>1</v>
      </c>
      <c r="AN13">
        <f t="shared" si="23"/>
        <v>0</v>
      </c>
      <c r="AO13">
        <f t="shared" si="24"/>
        <v>0</v>
      </c>
      <c r="AP13">
        <f t="shared" si="25"/>
        <v>0</v>
      </c>
      <c r="AQ13">
        <f t="shared" si="35"/>
        <v>0</v>
      </c>
      <c r="AR13">
        <f t="shared" si="36"/>
        <v>0</v>
      </c>
      <c r="AS13">
        <f t="shared" si="26"/>
        <v>0</v>
      </c>
      <c r="AT13">
        <f t="shared" si="27"/>
        <v>0</v>
      </c>
      <c r="AU13">
        <f t="shared" si="28"/>
        <v>0</v>
      </c>
      <c r="AV13">
        <f t="shared" si="29"/>
        <v>0</v>
      </c>
      <c r="AW13">
        <f t="shared" si="30"/>
        <v>0</v>
      </c>
      <c r="AX13">
        <f t="shared" si="31"/>
        <v>0</v>
      </c>
      <c r="AY13">
        <f t="shared" si="32"/>
        <v>0</v>
      </c>
      <c r="AZ13" t="s">
        <v>246</v>
      </c>
    </row>
    <row r="14" spans="1:52">
      <c r="A14">
        <v>13</v>
      </c>
      <c r="B14" s="14">
        <v>46178</v>
      </c>
      <c r="C14" t="s">
        <v>1</v>
      </c>
      <c r="D14" t="s">
        <v>2</v>
      </c>
      <c r="E14" t="s">
        <v>680</v>
      </c>
      <c r="F14" t="s">
        <v>3</v>
      </c>
      <c r="G14">
        <v>7</v>
      </c>
      <c r="H14">
        <v>10</v>
      </c>
      <c r="I14" t="s">
        <v>248</v>
      </c>
      <c r="J14" t="s">
        <v>248</v>
      </c>
      <c r="K14" t="s">
        <v>679</v>
      </c>
      <c r="L14" t="s">
        <v>678</v>
      </c>
      <c r="M14" t="s">
        <v>11</v>
      </c>
      <c r="N14" t="s">
        <v>198</v>
      </c>
      <c r="O14">
        <f t="shared" si="0"/>
        <v>1</v>
      </c>
      <c r="P14">
        <f t="shared" si="1"/>
        <v>0</v>
      </c>
      <c r="Q14">
        <f t="shared" si="2"/>
        <v>1</v>
      </c>
      <c r="R14">
        <f t="shared" si="3"/>
        <v>0</v>
      </c>
      <c r="S14">
        <f t="shared" si="4"/>
        <v>0</v>
      </c>
      <c r="T14">
        <f t="shared" si="5"/>
        <v>0</v>
      </c>
      <c r="U14">
        <f t="shared" si="6"/>
        <v>0</v>
      </c>
      <c r="V14">
        <f t="shared" si="7"/>
        <v>0</v>
      </c>
      <c r="W14">
        <f t="shared" si="8"/>
        <v>0</v>
      </c>
      <c r="X14">
        <f t="shared" si="9"/>
        <v>0</v>
      </c>
      <c r="Y14">
        <f t="shared" si="10"/>
        <v>0</v>
      </c>
      <c r="Z14">
        <f t="shared" si="11"/>
        <v>0</v>
      </c>
      <c r="AA14">
        <f t="shared" si="12"/>
        <v>0</v>
      </c>
      <c r="AB14">
        <f t="shared" si="13"/>
        <v>0</v>
      </c>
      <c r="AC14">
        <f t="shared" si="14"/>
        <v>0</v>
      </c>
      <c r="AD14">
        <f t="shared" si="15"/>
        <v>0</v>
      </c>
      <c r="AE14">
        <f t="shared" si="16"/>
        <v>0</v>
      </c>
      <c r="AF14">
        <f t="shared" si="17"/>
        <v>0</v>
      </c>
      <c r="AG14">
        <f t="shared" si="18"/>
        <v>0</v>
      </c>
      <c r="AH14">
        <f t="shared" si="19"/>
        <v>0</v>
      </c>
      <c r="AI14">
        <f t="shared" si="20"/>
        <v>0</v>
      </c>
      <c r="AJ14">
        <f t="shared" si="21"/>
        <v>1</v>
      </c>
      <c r="AK14">
        <f t="shared" si="22"/>
        <v>0</v>
      </c>
      <c r="AL14">
        <f t="shared" si="33"/>
        <v>0</v>
      </c>
      <c r="AM14">
        <f t="shared" si="34"/>
        <v>0</v>
      </c>
      <c r="AN14">
        <f t="shared" si="23"/>
        <v>0</v>
      </c>
      <c r="AO14">
        <f t="shared" si="24"/>
        <v>0</v>
      </c>
      <c r="AP14">
        <f t="shared" si="25"/>
        <v>0</v>
      </c>
      <c r="AQ14">
        <f t="shared" si="35"/>
        <v>0</v>
      </c>
      <c r="AR14">
        <f t="shared" si="36"/>
        <v>0</v>
      </c>
      <c r="AS14">
        <f t="shared" si="26"/>
        <v>0</v>
      </c>
      <c r="AT14">
        <f t="shared" si="27"/>
        <v>0</v>
      </c>
      <c r="AU14">
        <f t="shared" si="28"/>
        <v>0</v>
      </c>
      <c r="AV14">
        <f t="shared" si="29"/>
        <v>0</v>
      </c>
      <c r="AW14">
        <f t="shared" si="30"/>
        <v>0</v>
      </c>
      <c r="AX14">
        <f t="shared" si="31"/>
        <v>0</v>
      </c>
      <c r="AY14">
        <f t="shared" si="32"/>
        <v>0</v>
      </c>
      <c r="AZ14" t="s">
        <v>246</v>
      </c>
    </row>
    <row r="15" spans="1:52" ht="18.600000000000001" customHeight="1">
      <c r="A15">
        <v>14</v>
      </c>
      <c r="B15" s="14">
        <v>46178</v>
      </c>
      <c r="C15" t="s">
        <v>1</v>
      </c>
      <c r="D15" t="s">
        <v>2</v>
      </c>
      <c r="E15" t="s">
        <v>677</v>
      </c>
      <c r="F15" t="s">
        <v>14</v>
      </c>
      <c r="G15">
        <v>2</v>
      </c>
      <c r="H15" t="s">
        <v>248</v>
      </c>
      <c r="I15" t="s">
        <v>248</v>
      </c>
      <c r="J15" t="s">
        <v>248</v>
      </c>
      <c r="K15" s="2" t="s">
        <v>676</v>
      </c>
      <c r="L15" t="s">
        <v>191</v>
      </c>
      <c r="M15" t="s">
        <v>11</v>
      </c>
      <c r="N15" t="s">
        <v>202</v>
      </c>
      <c r="O15">
        <f t="shared" si="0"/>
        <v>1</v>
      </c>
      <c r="P15">
        <f t="shared" si="1"/>
        <v>1</v>
      </c>
      <c r="Q15">
        <f t="shared" si="2"/>
        <v>0</v>
      </c>
      <c r="R15">
        <f t="shared" si="3"/>
        <v>1</v>
      </c>
      <c r="S15">
        <f t="shared" si="4"/>
        <v>1</v>
      </c>
      <c r="T15">
        <f t="shared" si="5"/>
        <v>1</v>
      </c>
      <c r="U15">
        <f t="shared" si="6"/>
        <v>0</v>
      </c>
      <c r="V15">
        <f t="shared" si="7"/>
        <v>0</v>
      </c>
      <c r="W15">
        <f t="shared" si="8"/>
        <v>0</v>
      </c>
      <c r="X15">
        <f t="shared" si="9"/>
        <v>0</v>
      </c>
      <c r="Y15">
        <f t="shared" si="10"/>
        <v>1</v>
      </c>
      <c r="Z15">
        <f t="shared" si="11"/>
        <v>1</v>
      </c>
      <c r="AA15">
        <f t="shared" si="12"/>
        <v>0</v>
      </c>
      <c r="AB15">
        <f t="shared" si="13"/>
        <v>0</v>
      </c>
      <c r="AC15">
        <f t="shared" si="14"/>
        <v>0</v>
      </c>
      <c r="AD15">
        <f t="shared" si="15"/>
        <v>0</v>
      </c>
      <c r="AE15">
        <f t="shared" si="16"/>
        <v>0</v>
      </c>
      <c r="AF15">
        <f t="shared" si="17"/>
        <v>0</v>
      </c>
      <c r="AG15">
        <f t="shared" si="18"/>
        <v>0</v>
      </c>
      <c r="AH15">
        <f t="shared" si="19"/>
        <v>0</v>
      </c>
      <c r="AI15">
        <f t="shared" si="20"/>
        <v>0</v>
      </c>
      <c r="AJ15">
        <f t="shared" si="21"/>
        <v>0</v>
      </c>
      <c r="AK15">
        <f t="shared" si="22"/>
        <v>0</v>
      </c>
      <c r="AL15">
        <f t="shared" si="33"/>
        <v>0</v>
      </c>
      <c r="AM15">
        <f t="shared" si="34"/>
        <v>0</v>
      </c>
      <c r="AN15">
        <f t="shared" si="23"/>
        <v>0</v>
      </c>
      <c r="AO15">
        <f t="shared" si="24"/>
        <v>0</v>
      </c>
      <c r="AP15">
        <f t="shared" si="25"/>
        <v>0</v>
      </c>
      <c r="AQ15">
        <f t="shared" si="35"/>
        <v>0</v>
      </c>
      <c r="AR15">
        <f t="shared" si="36"/>
        <v>0</v>
      </c>
      <c r="AS15">
        <f t="shared" si="26"/>
        <v>0</v>
      </c>
      <c r="AT15">
        <f t="shared" si="27"/>
        <v>0</v>
      </c>
      <c r="AU15">
        <f t="shared" si="28"/>
        <v>1</v>
      </c>
      <c r="AV15">
        <f t="shared" si="29"/>
        <v>1</v>
      </c>
      <c r="AW15">
        <f t="shared" si="30"/>
        <v>1</v>
      </c>
      <c r="AX15">
        <f t="shared" si="31"/>
        <v>0</v>
      </c>
      <c r="AY15">
        <f t="shared" si="32"/>
        <v>0</v>
      </c>
      <c r="AZ15" t="s">
        <v>246</v>
      </c>
    </row>
    <row r="16" spans="1:52" ht="32.4" customHeight="1">
      <c r="A16">
        <v>15</v>
      </c>
      <c r="B16" s="14">
        <v>46178</v>
      </c>
      <c r="C16" t="s">
        <v>1</v>
      </c>
      <c r="D16" t="s">
        <v>2</v>
      </c>
      <c r="E16" s="2" t="s">
        <v>675</v>
      </c>
      <c r="F16" t="s">
        <v>5</v>
      </c>
      <c r="G16">
        <v>2</v>
      </c>
      <c r="H16">
        <v>5</v>
      </c>
      <c r="I16" t="s">
        <v>248</v>
      </c>
      <c r="J16" t="s">
        <v>248</v>
      </c>
      <c r="K16" t="s">
        <v>674</v>
      </c>
      <c r="L16" t="s">
        <v>191</v>
      </c>
      <c r="M16" t="s">
        <v>11</v>
      </c>
      <c r="N16" t="s">
        <v>206</v>
      </c>
      <c r="O16">
        <f t="shared" si="0"/>
        <v>1</v>
      </c>
      <c r="P16">
        <f t="shared" si="1"/>
        <v>0</v>
      </c>
      <c r="Q16">
        <f t="shared" si="2"/>
        <v>1</v>
      </c>
      <c r="R16">
        <f t="shared" si="3"/>
        <v>0</v>
      </c>
      <c r="S16">
        <f t="shared" si="4"/>
        <v>0</v>
      </c>
      <c r="T16">
        <f t="shared" si="5"/>
        <v>0</v>
      </c>
      <c r="U16">
        <f t="shared" si="6"/>
        <v>0</v>
      </c>
      <c r="V16">
        <f t="shared" si="7"/>
        <v>0</v>
      </c>
      <c r="W16">
        <f t="shared" si="8"/>
        <v>0</v>
      </c>
      <c r="X16">
        <f t="shared" si="9"/>
        <v>0</v>
      </c>
      <c r="Y16">
        <f t="shared" si="10"/>
        <v>0</v>
      </c>
      <c r="Z16">
        <f t="shared" si="11"/>
        <v>0</v>
      </c>
      <c r="AA16">
        <f t="shared" si="12"/>
        <v>0</v>
      </c>
      <c r="AB16">
        <f t="shared" si="13"/>
        <v>0</v>
      </c>
      <c r="AC16">
        <f t="shared" si="14"/>
        <v>0</v>
      </c>
      <c r="AD16">
        <f t="shared" si="15"/>
        <v>0</v>
      </c>
      <c r="AE16">
        <f t="shared" si="16"/>
        <v>0</v>
      </c>
      <c r="AF16">
        <f t="shared" si="17"/>
        <v>0</v>
      </c>
      <c r="AG16">
        <f t="shared" si="18"/>
        <v>0</v>
      </c>
      <c r="AH16">
        <f t="shared" si="19"/>
        <v>0</v>
      </c>
      <c r="AI16">
        <f t="shared" si="20"/>
        <v>0</v>
      </c>
      <c r="AJ16">
        <f t="shared" si="21"/>
        <v>0</v>
      </c>
      <c r="AK16">
        <f t="shared" si="22"/>
        <v>0</v>
      </c>
      <c r="AL16">
        <f t="shared" si="33"/>
        <v>0</v>
      </c>
      <c r="AM16">
        <f t="shared" si="34"/>
        <v>0</v>
      </c>
      <c r="AN16">
        <f t="shared" si="23"/>
        <v>0</v>
      </c>
      <c r="AO16">
        <f t="shared" si="24"/>
        <v>0</v>
      </c>
      <c r="AP16">
        <f t="shared" si="25"/>
        <v>0</v>
      </c>
      <c r="AQ16">
        <f t="shared" si="35"/>
        <v>0</v>
      </c>
      <c r="AR16">
        <f t="shared" si="36"/>
        <v>0</v>
      </c>
      <c r="AS16">
        <f t="shared" si="26"/>
        <v>0</v>
      </c>
      <c r="AT16">
        <f t="shared" si="27"/>
        <v>0</v>
      </c>
      <c r="AU16">
        <f t="shared" si="28"/>
        <v>0</v>
      </c>
      <c r="AV16">
        <f t="shared" si="29"/>
        <v>0</v>
      </c>
      <c r="AW16">
        <f t="shared" si="30"/>
        <v>0</v>
      </c>
      <c r="AX16">
        <f t="shared" si="31"/>
        <v>0</v>
      </c>
      <c r="AY16">
        <f t="shared" si="32"/>
        <v>0</v>
      </c>
      <c r="AZ16" t="s">
        <v>246</v>
      </c>
    </row>
    <row r="17" spans="1:52">
      <c r="A17">
        <v>16</v>
      </c>
      <c r="B17" s="14">
        <v>46178</v>
      </c>
      <c r="C17" t="s">
        <v>1</v>
      </c>
      <c r="D17" t="s">
        <v>2</v>
      </c>
      <c r="E17" t="s">
        <v>673</v>
      </c>
      <c r="F17" t="s">
        <v>13</v>
      </c>
      <c r="G17" t="s">
        <v>248</v>
      </c>
      <c r="H17" t="s">
        <v>248</v>
      </c>
      <c r="I17" t="s">
        <v>248</v>
      </c>
      <c r="J17" t="s">
        <v>248</v>
      </c>
      <c r="K17" t="s">
        <v>672</v>
      </c>
      <c r="L17" t="s">
        <v>671</v>
      </c>
      <c r="M17" t="s">
        <v>11</v>
      </c>
      <c r="N17" t="s">
        <v>198</v>
      </c>
      <c r="O17">
        <f t="shared" si="0"/>
        <v>1</v>
      </c>
      <c r="P17">
        <f t="shared" si="1"/>
        <v>1</v>
      </c>
      <c r="Q17">
        <f t="shared" si="2"/>
        <v>0</v>
      </c>
      <c r="R17">
        <f t="shared" si="3"/>
        <v>0</v>
      </c>
      <c r="S17">
        <f t="shared" si="4"/>
        <v>1</v>
      </c>
      <c r="T17">
        <f t="shared" si="5"/>
        <v>0</v>
      </c>
      <c r="U17">
        <f t="shared" si="6"/>
        <v>0</v>
      </c>
      <c r="V17">
        <f t="shared" si="7"/>
        <v>0</v>
      </c>
      <c r="W17">
        <f t="shared" si="8"/>
        <v>0</v>
      </c>
      <c r="X17">
        <f t="shared" si="9"/>
        <v>0</v>
      </c>
      <c r="Y17">
        <f t="shared" si="10"/>
        <v>0</v>
      </c>
      <c r="Z17">
        <f t="shared" si="11"/>
        <v>0</v>
      </c>
      <c r="AA17">
        <f t="shared" si="12"/>
        <v>0</v>
      </c>
      <c r="AB17">
        <f t="shared" si="13"/>
        <v>0</v>
      </c>
      <c r="AC17">
        <f t="shared" si="14"/>
        <v>0</v>
      </c>
      <c r="AD17">
        <f t="shared" si="15"/>
        <v>0</v>
      </c>
      <c r="AE17">
        <f t="shared" si="16"/>
        <v>0</v>
      </c>
      <c r="AF17">
        <f t="shared" si="17"/>
        <v>0</v>
      </c>
      <c r="AG17">
        <f t="shared" si="18"/>
        <v>0</v>
      </c>
      <c r="AH17">
        <f t="shared" si="19"/>
        <v>0</v>
      </c>
      <c r="AI17">
        <f t="shared" si="20"/>
        <v>0</v>
      </c>
      <c r="AJ17">
        <f t="shared" si="21"/>
        <v>0</v>
      </c>
      <c r="AK17">
        <f t="shared" si="22"/>
        <v>0</v>
      </c>
      <c r="AL17">
        <f t="shared" si="33"/>
        <v>0</v>
      </c>
      <c r="AM17">
        <f t="shared" si="34"/>
        <v>0</v>
      </c>
      <c r="AN17">
        <f t="shared" si="23"/>
        <v>0</v>
      </c>
      <c r="AO17">
        <f t="shared" si="24"/>
        <v>0</v>
      </c>
      <c r="AP17">
        <f t="shared" si="25"/>
        <v>0</v>
      </c>
      <c r="AQ17">
        <f t="shared" si="35"/>
        <v>0</v>
      </c>
      <c r="AR17">
        <f t="shared" si="36"/>
        <v>0</v>
      </c>
      <c r="AS17">
        <f t="shared" si="26"/>
        <v>0</v>
      </c>
      <c r="AT17">
        <f t="shared" si="27"/>
        <v>0</v>
      </c>
      <c r="AU17">
        <f t="shared" si="28"/>
        <v>0</v>
      </c>
      <c r="AV17">
        <f t="shared" si="29"/>
        <v>0</v>
      </c>
      <c r="AW17">
        <f t="shared" si="30"/>
        <v>0</v>
      </c>
      <c r="AX17">
        <f t="shared" si="31"/>
        <v>0</v>
      </c>
      <c r="AY17">
        <f t="shared" si="32"/>
        <v>0</v>
      </c>
      <c r="AZ17" t="s">
        <v>246</v>
      </c>
    </row>
    <row r="18" spans="1:52">
      <c r="A18">
        <v>17</v>
      </c>
      <c r="B18" s="14">
        <v>46178</v>
      </c>
      <c r="C18" t="s">
        <v>1</v>
      </c>
      <c r="D18" t="s">
        <v>2</v>
      </c>
      <c r="E18" t="s">
        <v>670</v>
      </c>
      <c r="F18" t="s">
        <v>3</v>
      </c>
      <c r="G18" t="s">
        <v>248</v>
      </c>
      <c r="H18" t="s">
        <v>248</v>
      </c>
      <c r="I18" t="s">
        <v>248</v>
      </c>
      <c r="J18" t="s">
        <v>248</v>
      </c>
      <c r="K18" t="s">
        <v>669</v>
      </c>
      <c r="L18" t="s">
        <v>191</v>
      </c>
      <c r="M18" t="s">
        <v>11</v>
      </c>
      <c r="N18" t="s">
        <v>198</v>
      </c>
      <c r="O18">
        <f t="shared" si="0"/>
        <v>1</v>
      </c>
      <c r="P18">
        <f t="shared" si="1"/>
        <v>1</v>
      </c>
      <c r="Q18">
        <f t="shared" si="2"/>
        <v>0</v>
      </c>
      <c r="R18">
        <f t="shared" si="3"/>
        <v>0</v>
      </c>
      <c r="S18">
        <f t="shared" si="4"/>
        <v>1</v>
      </c>
      <c r="T18">
        <f t="shared" si="5"/>
        <v>1</v>
      </c>
      <c r="U18">
        <f t="shared" si="6"/>
        <v>0</v>
      </c>
      <c r="V18">
        <f t="shared" si="7"/>
        <v>0</v>
      </c>
      <c r="W18">
        <f t="shared" si="8"/>
        <v>0</v>
      </c>
      <c r="X18">
        <f t="shared" si="9"/>
        <v>0</v>
      </c>
      <c r="Y18">
        <f t="shared" si="10"/>
        <v>0</v>
      </c>
      <c r="Z18">
        <f t="shared" si="11"/>
        <v>0</v>
      </c>
      <c r="AA18">
        <f t="shared" si="12"/>
        <v>0</v>
      </c>
      <c r="AB18">
        <f t="shared" si="13"/>
        <v>0</v>
      </c>
      <c r="AC18">
        <f t="shared" si="14"/>
        <v>0</v>
      </c>
      <c r="AD18">
        <f t="shared" si="15"/>
        <v>0</v>
      </c>
      <c r="AE18">
        <f t="shared" si="16"/>
        <v>0</v>
      </c>
      <c r="AF18">
        <f t="shared" si="17"/>
        <v>0</v>
      </c>
      <c r="AG18">
        <f t="shared" si="18"/>
        <v>0</v>
      </c>
      <c r="AH18">
        <f t="shared" si="19"/>
        <v>0</v>
      </c>
      <c r="AI18">
        <f t="shared" si="20"/>
        <v>0</v>
      </c>
      <c r="AJ18">
        <f t="shared" si="21"/>
        <v>1</v>
      </c>
      <c r="AK18">
        <f t="shared" si="22"/>
        <v>0</v>
      </c>
      <c r="AL18">
        <f t="shared" si="33"/>
        <v>0</v>
      </c>
      <c r="AM18">
        <f t="shared" si="34"/>
        <v>0</v>
      </c>
      <c r="AN18">
        <f t="shared" si="23"/>
        <v>0</v>
      </c>
      <c r="AO18">
        <f t="shared" si="24"/>
        <v>0</v>
      </c>
      <c r="AP18">
        <f t="shared" si="25"/>
        <v>0</v>
      </c>
      <c r="AQ18">
        <f t="shared" si="35"/>
        <v>0</v>
      </c>
      <c r="AR18">
        <f t="shared" si="36"/>
        <v>0</v>
      </c>
      <c r="AS18">
        <f t="shared" si="26"/>
        <v>0</v>
      </c>
      <c r="AT18">
        <f t="shared" si="27"/>
        <v>0</v>
      </c>
      <c r="AU18">
        <f t="shared" si="28"/>
        <v>0</v>
      </c>
      <c r="AV18">
        <f t="shared" si="29"/>
        <v>1</v>
      </c>
      <c r="AW18">
        <f t="shared" si="30"/>
        <v>0</v>
      </c>
      <c r="AX18">
        <f t="shared" si="31"/>
        <v>0</v>
      </c>
      <c r="AY18">
        <f t="shared" si="32"/>
        <v>0</v>
      </c>
      <c r="AZ18" t="s">
        <v>246</v>
      </c>
    </row>
    <row r="19" spans="1:52">
      <c r="A19">
        <v>18</v>
      </c>
      <c r="B19" s="14">
        <v>46178</v>
      </c>
      <c r="C19" t="s">
        <v>1</v>
      </c>
      <c r="D19" t="s">
        <v>8</v>
      </c>
      <c r="E19" t="s">
        <v>668</v>
      </c>
      <c r="F19" t="s">
        <v>3</v>
      </c>
      <c r="G19">
        <v>3</v>
      </c>
      <c r="H19">
        <v>5</v>
      </c>
      <c r="I19" t="s">
        <v>248</v>
      </c>
      <c r="J19" t="s">
        <v>248</v>
      </c>
      <c r="K19" t="s">
        <v>667</v>
      </c>
      <c r="L19" t="s">
        <v>191</v>
      </c>
      <c r="M19" t="s">
        <v>11</v>
      </c>
      <c r="N19" t="s">
        <v>206</v>
      </c>
      <c r="O19">
        <f t="shared" si="0"/>
        <v>1</v>
      </c>
      <c r="P19">
        <f t="shared" si="1"/>
        <v>1</v>
      </c>
      <c r="Q19">
        <f t="shared" si="2"/>
        <v>0</v>
      </c>
      <c r="R19">
        <f t="shared" si="3"/>
        <v>0</v>
      </c>
      <c r="S19">
        <f t="shared" si="4"/>
        <v>0</v>
      </c>
      <c r="T19">
        <f t="shared" si="5"/>
        <v>0</v>
      </c>
      <c r="U19">
        <f t="shared" si="6"/>
        <v>0</v>
      </c>
      <c r="V19">
        <f t="shared" si="7"/>
        <v>0</v>
      </c>
      <c r="W19">
        <f t="shared" si="8"/>
        <v>0</v>
      </c>
      <c r="X19">
        <f t="shared" si="9"/>
        <v>1</v>
      </c>
      <c r="Y19">
        <f t="shared" si="10"/>
        <v>0</v>
      </c>
      <c r="Z19">
        <f t="shared" si="11"/>
        <v>0</v>
      </c>
      <c r="AA19">
        <f t="shared" si="12"/>
        <v>0</v>
      </c>
      <c r="AB19">
        <f t="shared" si="13"/>
        <v>0</v>
      </c>
      <c r="AC19">
        <f t="shared" si="14"/>
        <v>0</v>
      </c>
      <c r="AD19">
        <f t="shared" si="15"/>
        <v>0</v>
      </c>
      <c r="AE19">
        <f t="shared" si="16"/>
        <v>0</v>
      </c>
      <c r="AF19">
        <f t="shared" si="17"/>
        <v>0</v>
      </c>
      <c r="AG19">
        <f t="shared" si="18"/>
        <v>0</v>
      </c>
      <c r="AH19">
        <f t="shared" si="19"/>
        <v>0</v>
      </c>
      <c r="AI19">
        <f t="shared" si="20"/>
        <v>0</v>
      </c>
      <c r="AJ19">
        <f t="shared" si="21"/>
        <v>0</v>
      </c>
      <c r="AK19">
        <f t="shared" si="22"/>
        <v>0</v>
      </c>
      <c r="AL19">
        <f t="shared" si="33"/>
        <v>0</v>
      </c>
      <c r="AM19">
        <f t="shared" si="34"/>
        <v>0</v>
      </c>
      <c r="AN19">
        <f t="shared" si="23"/>
        <v>0</v>
      </c>
      <c r="AO19">
        <f t="shared" si="24"/>
        <v>0</v>
      </c>
      <c r="AP19">
        <f t="shared" si="25"/>
        <v>0</v>
      </c>
      <c r="AQ19">
        <f t="shared" si="35"/>
        <v>0</v>
      </c>
      <c r="AR19">
        <f t="shared" si="36"/>
        <v>0</v>
      </c>
      <c r="AS19">
        <f t="shared" si="26"/>
        <v>0</v>
      </c>
      <c r="AT19">
        <f t="shared" si="27"/>
        <v>0</v>
      </c>
      <c r="AU19">
        <f t="shared" si="28"/>
        <v>1</v>
      </c>
      <c r="AV19">
        <f t="shared" si="29"/>
        <v>1</v>
      </c>
      <c r="AW19">
        <f t="shared" si="30"/>
        <v>0</v>
      </c>
      <c r="AX19">
        <f t="shared" si="31"/>
        <v>0</v>
      </c>
      <c r="AY19">
        <f t="shared" si="32"/>
        <v>0</v>
      </c>
      <c r="AZ19" t="s">
        <v>246</v>
      </c>
    </row>
    <row r="20" spans="1:52">
      <c r="A20">
        <v>19</v>
      </c>
      <c r="B20" s="14">
        <v>46178</v>
      </c>
      <c r="C20" t="s">
        <v>1</v>
      </c>
      <c r="D20" t="s">
        <v>8</v>
      </c>
      <c r="E20" t="s">
        <v>666</v>
      </c>
      <c r="F20" t="s">
        <v>14</v>
      </c>
      <c r="G20">
        <v>4</v>
      </c>
      <c r="H20">
        <v>6</v>
      </c>
      <c r="I20" t="s">
        <v>248</v>
      </c>
      <c r="J20" t="s">
        <v>248</v>
      </c>
      <c r="K20" t="s">
        <v>665</v>
      </c>
      <c r="L20" t="s">
        <v>664</v>
      </c>
      <c r="M20" t="s">
        <v>11</v>
      </c>
      <c r="N20" t="s">
        <v>198</v>
      </c>
      <c r="O20">
        <f t="shared" si="0"/>
        <v>1</v>
      </c>
      <c r="P20">
        <f t="shared" si="1"/>
        <v>1</v>
      </c>
      <c r="Q20">
        <f t="shared" si="2"/>
        <v>0</v>
      </c>
      <c r="R20">
        <f t="shared" si="3"/>
        <v>0</v>
      </c>
      <c r="S20">
        <f t="shared" si="4"/>
        <v>0</v>
      </c>
      <c r="T20">
        <f t="shared" si="5"/>
        <v>0</v>
      </c>
      <c r="U20">
        <f t="shared" si="6"/>
        <v>0</v>
      </c>
      <c r="V20">
        <f t="shared" si="7"/>
        <v>0</v>
      </c>
      <c r="W20">
        <f t="shared" si="8"/>
        <v>0</v>
      </c>
      <c r="X20">
        <f t="shared" si="9"/>
        <v>0</v>
      </c>
      <c r="Y20">
        <f t="shared" si="10"/>
        <v>0</v>
      </c>
      <c r="Z20">
        <f t="shared" si="11"/>
        <v>0</v>
      </c>
      <c r="AA20">
        <f t="shared" si="12"/>
        <v>1</v>
      </c>
      <c r="AB20">
        <f t="shared" si="13"/>
        <v>1</v>
      </c>
      <c r="AC20">
        <f t="shared" si="14"/>
        <v>0</v>
      </c>
      <c r="AD20">
        <f t="shared" si="15"/>
        <v>0</v>
      </c>
      <c r="AE20">
        <f t="shared" si="16"/>
        <v>0</v>
      </c>
      <c r="AF20">
        <f t="shared" si="17"/>
        <v>0</v>
      </c>
      <c r="AG20">
        <f t="shared" si="18"/>
        <v>0</v>
      </c>
      <c r="AH20">
        <f t="shared" si="19"/>
        <v>0</v>
      </c>
      <c r="AI20">
        <f t="shared" si="20"/>
        <v>0</v>
      </c>
      <c r="AJ20">
        <f t="shared" si="21"/>
        <v>0</v>
      </c>
      <c r="AK20">
        <f t="shared" si="22"/>
        <v>0</v>
      </c>
      <c r="AL20">
        <f t="shared" si="33"/>
        <v>0</v>
      </c>
      <c r="AM20">
        <f t="shared" si="34"/>
        <v>0</v>
      </c>
      <c r="AN20">
        <f t="shared" si="23"/>
        <v>0</v>
      </c>
      <c r="AO20">
        <f t="shared" si="24"/>
        <v>1</v>
      </c>
      <c r="AP20">
        <f t="shared" si="25"/>
        <v>0</v>
      </c>
      <c r="AQ20">
        <f t="shared" si="35"/>
        <v>0</v>
      </c>
      <c r="AR20">
        <f t="shared" si="36"/>
        <v>0</v>
      </c>
      <c r="AS20">
        <f t="shared" si="26"/>
        <v>0</v>
      </c>
      <c r="AT20">
        <f t="shared" si="27"/>
        <v>0</v>
      </c>
      <c r="AU20">
        <f t="shared" si="28"/>
        <v>0</v>
      </c>
      <c r="AV20">
        <f t="shared" si="29"/>
        <v>0</v>
      </c>
      <c r="AW20">
        <f t="shared" si="30"/>
        <v>0</v>
      </c>
      <c r="AX20">
        <f t="shared" si="31"/>
        <v>0</v>
      </c>
      <c r="AY20">
        <f t="shared" si="32"/>
        <v>0</v>
      </c>
      <c r="AZ20" t="s">
        <v>246</v>
      </c>
    </row>
    <row r="21" spans="1:52">
      <c r="A21">
        <v>20</v>
      </c>
      <c r="B21" s="14">
        <v>46178</v>
      </c>
      <c r="C21" t="s">
        <v>1</v>
      </c>
      <c r="D21" t="s">
        <v>8</v>
      </c>
      <c r="E21" t="s">
        <v>663</v>
      </c>
      <c r="F21" t="s">
        <v>14</v>
      </c>
      <c r="G21">
        <v>2</v>
      </c>
      <c r="H21">
        <v>4</v>
      </c>
      <c r="I21" t="s">
        <v>248</v>
      </c>
      <c r="J21" t="s">
        <v>248</v>
      </c>
      <c r="K21" t="s">
        <v>662</v>
      </c>
      <c r="L21" t="s">
        <v>661</v>
      </c>
      <c r="M21" t="s">
        <v>11</v>
      </c>
      <c r="N21" t="s">
        <v>202</v>
      </c>
      <c r="O21">
        <f t="shared" si="0"/>
        <v>1</v>
      </c>
      <c r="P21">
        <f t="shared" si="1"/>
        <v>0</v>
      </c>
      <c r="Q21">
        <f t="shared" si="2"/>
        <v>0</v>
      </c>
      <c r="R21">
        <f t="shared" si="3"/>
        <v>0</v>
      </c>
      <c r="S21">
        <f t="shared" si="4"/>
        <v>0</v>
      </c>
      <c r="T21">
        <f t="shared" si="5"/>
        <v>0</v>
      </c>
      <c r="U21">
        <f t="shared" si="6"/>
        <v>0</v>
      </c>
      <c r="V21">
        <f t="shared" si="7"/>
        <v>0</v>
      </c>
      <c r="W21">
        <f t="shared" si="8"/>
        <v>0</v>
      </c>
      <c r="X21">
        <f t="shared" si="9"/>
        <v>0</v>
      </c>
      <c r="Y21">
        <f t="shared" si="10"/>
        <v>0</v>
      </c>
      <c r="Z21">
        <f t="shared" si="11"/>
        <v>0</v>
      </c>
      <c r="AA21">
        <f t="shared" si="12"/>
        <v>1</v>
      </c>
      <c r="AB21">
        <f t="shared" si="13"/>
        <v>0</v>
      </c>
      <c r="AC21">
        <f t="shared" si="14"/>
        <v>0</v>
      </c>
      <c r="AD21">
        <f t="shared" si="15"/>
        <v>0</v>
      </c>
      <c r="AE21">
        <f t="shared" si="16"/>
        <v>0</v>
      </c>
      <c r="AF21">
        <f t="shared" si="17"/>
        <v>0</v>
      </c>
      <c r="AG21">
        <f t="shared" si="18"/>
        <v>0</v>
      </c>
      <c r="AH21">
        <f t="shared" si="19"/>
        <v>0</v>
      </c>
      <c r="AI21">
        <f t="shared" si="20"/>
        <v>0</v>
      </c>
      <c r="AJ21">
        <f t="shared" si="21"/>
        <v>0</v>
      </c>
      <c r="AK21">
        <f t="shared" si="22"/>
        <v>0</v>
      </c>
      <c r="AL21">
        <f t="shared" si="33"/>
        <v>0</v>
      </c>
      <c r="AM21">
        <f t="shared" si="34"/>
        <v>0</v>
      </c>
      <c r="AN21">
        <f t="shared" si="23"/>
        <v>0</v>
      </c>
      <c r="AO21">
        <f t="shared" si="24"/>
        <v>0</v>
      </c>
      <c r="AP21">
        <f t="shared" si="25"/>
        <v>0</v>
      </c>
      <c r="AQ21">
        <f t="shared" si="35"/>
        <v>0</v>
      </c>
      <c r="AR21">
        <f t="shared" si="36"/>
        <v>0</v>
      </c>
      <c r="AS21">
        <f t="shared" si="26"/>
        <v>0</v>
      </c>
      <c r="AT21">
        <f t="shared" si="27"/>
        <v>0</v>
      </c>
      <c r="AU21">
        <f t="shared" si="28"/>
        <v>0</v>
      </c>
      <c r="AV21">
        <f t="shared" si="29"/>
        <v>0</v>
      </c>
      <c r="AW21">
        <f t="shared" si="30"/>
        <v>0</v>
      </c>
      <c r="AX21">
        <f t="shared" si="31"/>
        <v>0</v>
      </c>
      <c r="AY21">
        <f t="shared" si="32"/>
        <v>0</v>
      </c>
      <c r="AZ21" t="s">
        <v>246</v>
      </c>
    </row>
    <row r="22" spans="1:52">
      <c r="A22">
        <v>21</v>
      </c>
      <c r="B22" s="14">
        <v>46178</v>
      </c>
      <c r="C22" t="s">
        <v>1</v>
      </c>
      <c r="D22" t="s">
        <v>8</v>
      </c>
      <c r="E22" t="s">
        <v>660</v>
      </c>
      <c r="F22" t="s">
        <v>13</v>
      </c>
      <c r="G22">
        <v>6</v>
      </c>
      <c r="H22">
        <v>10</v>
      </c>
      <c r="I22" t="s">
        <v>248</v>
      </c>
      <c r="J22" t="s">
        <v>248</v>
      </c>
      <c r="K22" t="s">
        <v>659</v>
      </c>
      <c r="L22" t="s">
        <v>191</v>
      </c>
      <c r="M22" t="s">
        <v>11</v>
      </c>
      <c r="N22" t="s">
        <v>206</v>
      </c>
      <c r="O22">
        <f t="shared" si="0"/>
        <v>1</v>
      </c>
      <c r="P22">
        <f t="shared" si="1"/>
        <v>1</v>
      </c>
      <c r="Q22">
        <f t="shared" si="2"/>
        <v>0</v>
      </c>
      <c r="R22">
        <f t="shared" si="3"/>
        <v>0</v>
      </c>
      <c r="S22">
        <f t="shared" si="4"/>
        <v>0</v>
      </c>
      <c r="T22">
        <f t="shared" si="5"/>
        <v>0</v>
      </c>
      <c r="U22">
        <f t="shared" si="6"/>
        <v>1</v>
      </c>
      <c r="V22">
        <f t="shared" si="7"/>
        <v>0</v>
      </c>
      <c r="W22">
        <f t="shared" si="8"/>
        <v>0</v>
      </c>
      <c r="X22">
        <f t="shared" si="9"/>
        <v>0</v>
      </c>
      <c r="Y22">
        <f t="shared" si="10"/>
        <v>0</v>
      </c>
      <c r="Z22">
        <f t="shared" si="11"/>
        <v>0</v>
      </c>
      <c r="AA22">
        <f t="shared" si="12"/>
        <v>0</v>
      </c>
      <c r="AB22">
        <f t="shared" si="13"/>
        <v>0</v>
      </c>
      <c r="AC22">
        <f t="shared" si="14"/>
        <v>0</v>
      </c>
      <c r="AD22">
        <f t="shared" si="15"/>
        <v>0</v>
      </c>
      <c r="AE22">
        <f t="shared" si="16"/>
        <v>1</v>
      </c>
      <c r="AF22">
        <f t="shared" si="17"/>
        <v>0</v>
      </c>
      <c r="AG22">
        <f t="shared" si="18"/>
        <v>0</v>
      </c>
      <c r="AH22">
        <f t="shared" si="19"/>
        <v>0</v>
      </c>
      <c r="AI22">
        <f t="shared" si="20"/>
        <v>0</v>
      </c>
      <c r="AJ22">
        <f t="shared" si="21"/>
        <v>0</v>
      </c>
      <c r="AK22">
        <f t="shared" si="22"/>
        <v>0</v>
      </c>
      <c r="AL22">
        <f t="shared" si="33"/>
        <v>0</v>
      </c>
      <c r="AM22">
        <f t="shared" si="34"/>
        <v>0</v>
      </c>
      <c r="AN22">
        <f t="shared" si="23"/>
        <v>0</v>
      </c>
      <c r="AO22">
        <f t="shared" si="24"/>
        <v>0</v>
      </c>
      <c r="AP22">
        <f t="shared" si="25"/>
        <v>0</v>
      </c>
      <c r="AQ22">
        <f t="shared" si="35"/>
        <v>0</v>
      </c>
      <c r="AR22">
        <f t="shared" si="36"/>
        <v>0</v>
      </c>
      <c r="AS22">
        <f t="shared" si="26"/>
        <v>0</v>
      </c>
      <c r="AT22">
        <f t="shared" si="27"/>
        <v>0</v>
      </c>
      <c r="AU22">
        <f t="shared" si="28"/>
        <v>0</v>
      </c>
      <c r="AV22">
        <f t="shared" si="29"/>
        <v>0</v>
      </c>
      <c r="AW22">
        <f t="shared" si="30"/>
        <v>0</v>
      </c>
      <c r="AX22">
        <f t="shared" si="31"/>
        <v>0</v>
      </c>
      <c r="AY22">
        <f t="shared" si="32"/>
        <v>0</v>
      </c>
      <c r="AZ22" t="s">
        <v>246</v>
      </c>
    </row>
    <row r="23" spans="1:52">
      <c r="A23">
        <v>22</v>
      </c>
      <c r="B23" s="14">
        <v>46178</v>
      </c>
      <c r="C23" t="s">
        <v>1</v>
      </c>
      <c r="D23" t="s">
        <v>8</v>
      </c>
      <c r="E23" t="s">
        <v>658</v>
      </c>
      <c r="F23" t="s">
        <v>14</v>
      </c>
      <c r="G23">
        <v>3</v>
      </c>
      <c r="H23" t="s">
        <v>248</v>
      </c>
      <c r="I23" t="s">
        <v>248</v>
      </c>
      <c r="J23" t="s">
        <v>248</v>
      </c>
      <c r="K23" t="s">
        <v>15</v>
      </c>
      <c r="L23" t="s">
        <v>191</v>
      </c>
      <c r="M23" t="s">
        <v>11</v>
      </c>
      <c r="N23" t="s">
        <v>206</v>
      </c>
      <c r="O23">
        <f t="shared" si="0"/>
        <v>0</v>
      </c>
      <c r="P23">
        <f t="shared" si="1"/>
        <v>0</v>
      </c>
      <c r="Q23">
        <f t="shared" si="2"/>
        <v>0</v>
      </c>
      <c r="R23">
        <f t="shared" si="3"/>
        <v>0</v>
      </c>
      <c r="S23">
        <f t="shared" si="4"/>
        <v>0</v>
      </c>
      <c r="T23">
        <f t="shared" si="5"/>
        <v>0</v>
      </c>
      <c r="U23">
        <f t="shared" si="6"/>
        <v>0</v>
      </c>
      <c r="V23">
        <f t="shared" si="7"/>
        <v>0</v>
      </c>
      <c r="W23">
        <f t="shared" si="8"/>
        <v>0</v>
      </c>
      <c r="X23">
        <f t="shared" si="9"/>
        <v>0</v>
      </c>
      <c r="Y23">
        <f t="shared" si="10"/>
        <v>0</v>
      </c>
      <c r="Z23">
        <f t="shared" si="11"/>
        <v>0</v>
      </c>
      <c r="AA23">
        <f t="shared" si="12"/>
        <v>1</v>
      </c>
      <c r="AB23">
        <f t="shared" si="13"/>
        <v>0</v>
      </c>
      <c r="AC23">
        <f t="shared" si="14"/>
        <v>0</v>
      </c>
      <c r="AD23">
        <f t="shared" si="15"/>
        <v>0</v>
      </c>
      <c r="AE23">
        <f t="shared" si="16"/>
        <v>0</v>
      </c>
      <c r="AF23">
        <f t="shared" si="17"/>
        <v>0</v>
      </c>
      <c r="AG23">
        <f t="shared" si="18"/>
        <v>0</v>
      </c>
      <c r="AH23">
        <f t="shared" si="19"/>
        <v>0</v>
      </c>
      <c r="AI23">
        <f t="shared" si="20"/>
        <v>0</v>
      </c>
      <c r="AJ23">
        <f t="shared" si="21"/>
        <v>0</v>
      </c>
      <c r="AK23">
        <f t="shared" si="22"/>
        <v>0</v>
      </c>
      <c r="AL23">
        <f t="shared" si="33"/>
        <v>0</v>
      </c>
      <c r="AM23">
        <f t="shared" si="34"/>
        <v>0</v>
      </c>
      <c r="AN23">
        <f t="shared" si="23"/>
        <v>0</v>
      </c>
      <c r="AO23">
        <f t="shared" si="24"/>
        <v>0</v>
      </c>
      <c r="AP23">
        <f t="shared" si="25"/>
        <v>0</v>
      </c>
      <c r="AQ23">
        <f t="shared" si="35"/>
        <v>0</v>
      </c>
      <c r="AR23">
        <f t="shared" si="36"/>
        <v>0</v>
      </c>
      <c r="AS23">
        <f t="shared" si="26"/>
        <v>0</v>
      </c>
      <c r="AT23">
        <f t="shared" si="27"/>
        <v>0</v>
      </c>
      <c r="AU23">
        <f t="shared" si="28"/>
        <v>0</v>
      </c>
      <c r="AV23">
        <f t="shared" si="29"/>
        <v>0</v>
      </c>
      <c r="AW23">
        <f t="shared" si="30"/>
        <v>0</v>
      </c>
      <c r="AX23">
        <f t="shared" si="31"/>
        <v>0</v>
      </c>
      <c r="AY23">
        <f t="shared" si="32"/>
        <v>0</v>
      </c>
      <c r="AZ23" t="s">
        <v>246</v>
      </c>
    </row>
    <row r="24" spans="1:52">
      <c r="A24">
        <v>23</v>
      </c>
      <c r="B24" s="14">
        <v>46178</v>
      </c>
      <c r="C24" t="s">
        <v>1</v>
      </c>
      <c r="D24" t="s">
        <v>8</v>
      </c>
      <c r="E24" t="s">
        <v>657</v>
      </c>
      <c r="F24" t="s">
        <v>14</v>
      </c>
      <c r="G24">
        <v>3</v>
      </c>
      <c r="H24" t="s">
        <v>248</v>
      </c>
      <c r="I24" t="s">
        <v>248</v>
      </c>
      <c r="J24" t="s">
        <v>248</v>
      </c>
      <c r="K24" t="s">
        <v>656</v>
      </c>
      <c r="L24" t="s">
        <v>191</v>
      </c>
      <c r="M24" t="s">
        <v>11</v>
      </c>
      <c r="N24" t="s">
        <v>198</v>
      </c>
      <c r="O24">
        <f t="shared" si="0"/>
        <v>1</v>
      </c>
      <c r="P24">
        <f t="shared" si="1"/>
        <v>1</v>
      </c>
      <c r="Q24">
        <f t="shared" si="2"/>
        <v>0</v>
      </c>
      <c r="R24">
        <f t="shared" si="3"/>
        <v>0</v>
      </c>
      <c r="S24">
        <f t="shared" si="4"/>
        <v>0</v>
      </c>
      <c r="T24">
        <f t="shared" si="5"/>
        <v>0</v>
      </c>
      <c r="U24">
        <f t="shared" si="6"/>
        <v>0</v>
      </c>
      <c r="V24">
        <f t="shared" si="7"/>
        <v>0</v>
      </c>
      <c r="W24">
        <f t="shared" si="8"/>
        <v>0</v>
      </c>
      <c r="X24">
        <f t="shared" si="9"/>
        <v>0</v>
      </c>
      <c r="Y24">
        <f t="shared" si="10"/>
        <v>0</v>
      </c>
      <c r="Z24">
        <f t="shared" si="11"/>
        <v>0</v>
      </c>
      <c r="AA24">
        <f t="shared" si="12"/>
        <v>1</v>
      </c>
      <c r="AB24">
        <f t="shared" si="13"/>
        <v>1</v>
      </c>
      <c r="AC24">
        <f t="shared" si="14"/>
        <v>0</v>
      </c>
      <c r="AD24">
        <f t="shared" si="15"/>
        <v>0</v>
      </c>
      <c r="AE24">
        <f t="shared" si="16"/>
        <v>0</v>
      </c>
      <c r="AF24">
        <f t="shared" si="17"/>
        <v>0</v>
      </c>
      <c r="AG24">
        <f t="shared" si="18"/>
        <v>0</v>
      </c>
      <c r="AH24">
        <f t="shared" si="19"/>
        <v>0</v>
      </c>
      <c r="AI24">
        <f t="shared" si="20"/>
        <v>0</v>
      </c>
      <c r="AJ24">
        <f t="shared" si="21"/>
        <v>0</v>
      </c>
      <c r="AK24">
        <f t="shared" si="22"/>
        <v>0</v>
      </c>
      <c r="AL24">
        <f t="shared" si="33"/>
        <v>0</v>
      </c>
      <c r="AM24">
        <f t="shared" si="34"/>
        <v>0</v>
      </c>
      <c r="AN24">
        <f t="shared" si="23"/>
        <v>0</v>
      </c>
      <c r="AO24">
        <f t="shared" si="24"/>
        <v>0</v>
      </c>
      <c r="AP24">
        <f t="shared" si="25"/>
        <v>0</v>
      </c>
      <c r="AQ24">
        <f t="shared" si="35"/>
        <v>0</v>
      </c>
      <c r="AR24">
        <f t="shared" si="36"/>
        <v>0</v>
      </c>
      <c r="AS24">
        <f t="shared" si="26"/>
        <v>0</v>
      </c>
      <c r="AT24">
        <f t="shared" si="27"/>
        <v>0</v>
      </c>
      <c r="AU24">
        <f t="shared" si="28"/>
        <v>0</v>
      </c>
      <c r="AV24">
        <f t="shared" si="29"/>
        <v>0</v>
      </c>
      <c r="AW24">
        <f t="shared" si="30"/>
        <v>0</v>
      </c>
      <c r="AX24">
        <f t="shared" si="31"/>
        <v>0</v>
      </c>
      <c r="AY24">
        <f t="shared" si="32"/>
        <v>0</v>
      </c>
      <c r="AZ24" t="s">
        <v>246</v>
      </c>
    </row>
    <row r="25" spans="1:52">
      <c r="A25">
        <v>24</v>
      </c>
      <c r="B25" s="14">
        <v>46178</v>
      </c>
      <c r="C25" t="s">
        <v>1</v>
      </c>
      <c r="D25" t="s">
        <v>8</v>
      </c>
      <c r="E25" t="s">
        <v>655</v>
      </c>
      <c r="F25" t="s">
        <v>13</v>
      </c>
      <c r="G25" t="s">
        <v>248</v>
      </c>
      <c r="H25" t="s">
        <v>248</v>
      </c>
      <c r="I25" t="s">
        <v>248</v>
      </c>
      <c r="J25" t="s">
        <v>248</v>
      </c>
      <c r="K25" t="s">
        <v>654</v>
      </c>
      <c r="L25" t="s">
        <v>653</v>
      </c>
      <c r="M25" t="s">
        <v>11</v>
      </c>
      <c r="N25" t="s">
        <v>206</v>
      </c>
      <c r="O25">
        <f t="shared" si="0"/>
        <v>0</v>
      </c>
      <c r="P25">
        <f t="shared" si="1"/>
        <v>0</v>
      </c>
      <c r="Q25">
        <f t="shared" si="2"/>
        <v>0</v>
      </c>
      <c r="R25">
        <f t="shared" si="3"/>
        <v>0</v>
      </c>
      <c r="S25">
        <f t="shared" si="4"/>
        <v>0</v>
      </c>
      <c r="T25">
        <f t="shared" si="5"/>
        <v>0</v>
      </c>
      <c r="U25">
        <f t="shared" si="6"/>
        <v>1</v>
      </c>
      <c r="V25">
        <f t="shared" si="7"/>
        <v>0</v>
      </c>
      <c r="W25">
        <f t="shared" si="8"/>
        <v>0</v>
      </c>
      <c r="X25">
        <f t="shared" si="9"/>
        <v>0</v>
      </c>
      <c r="Y25">
        <f t="shared" si="10"/>
        <v>0</v>
      </c>
      <c r="Z25">
        <f t="shared" si="11"/>
        <v>0</v>
      </c>
      <c r="AA25">
        <f t="shared" si="12"/>
        <v>1</v>
      </c>
      <c r="AB25">
        <f t="shared" si="13"/>
        <v>0</v>
      </c>
      <c r="AC25">
        <f t="shared" si="14"/>
        <v>0</v>
      </c>
      <c r="AD25">
        <f t="shared" si="15"/>
        <v>0</v>
      </c>
      <c r="AE25">
        <f t="shared" si="16"/>
        <v>0</v>
      </c>
      <c r="AF25">
        <f t="shared" si="17"/>
        <v>0</v>
      </c>
      <c r="AG25">
        <f t="shared" si="18"/>
        <v>1</v>
      </c>
      <c r="AH25">
        <f t="shared" si="19"/>
        <v>0</v>
      </c>
      <c r="AI25">
        <f t="shared" si="20"/>
        <v>0</v>
      </c>
      <c r="AJ25">
        <f t="shared" si="21"/>
        <v>0</v>
      </c>
      <c r="AK25">
        <f t="shared" si="22"/>
        <v>0</v>
      </c>
      <c r="AL25">
        <f t="shared" si="33"/>
        <v>0</v>
      </c>
      <c r="AM25">
        <f t="shared" si="34"/>
        <v>0</v>
      </c>
      <c r="AN25">
        <f t="shared" si="23"/>
        <v>0</v>
      </c>
      <c r="AO25">
        <f t="shared" si="24"/>
        <v>1</v>
      </c>
      <c r="AP25">
        <f t="shared" si="25"/>
        <v>0</v>
      </c>
      <c r="AQ25">
        <f t="shared" si="35"/>
        <v>0</v>
      </c>
      <c r="AR25">
        <f t="shared" si="36"/>
        <v>1</v>
      </c>
      <c r="AS25">
        <f t="shared" si="26"/>
        <v>0</v>
      </c>
      <c r="AT25">
        <f t="shared" si="27"/>
        <v>0</v>
      </c>
      <c r="AU25">
        <f t="shared" si="28"/>
        <v>0</v>
      </c>
      <c r="AV25">
        <f t="shared" si="29"/>
        <v>0</v>
      </c>
      <c r="AW25">
        <f t="shared" si="30"/>
        <v>0</v>
      </c>
      <c r="AX25">
        <f t="shared" si="31"/>
        <v>0</v>
      </c>
      <c r="AY25">
        <f t="shared" si="32"/>
        <v>0</v>
      </c>
      <c r="AZ25" t="s">
        <v>246</v>
      </c>
    </row>
    <row r="26" spans="1:52">
      <c r="A26">
        <v>25</v>
      </c>
      <c r="B26" s="14">
        <v>46178</v>
      </c>
      <c r="C26" t="s">
        <v>1</v>
      </c>
      <c r="D26" t="s">
        <v>8</v>
      </c>
      <c r="E26" t="s">
        <v>652</v>
      </c>
      <c r="F26" t="s">
        <v>14</v>
      </c>
      <c r="G26">
        <v>4</v>
      </c>
      <c r="H26" t="s">
        <v>248</v>
      </c>
      <c r="I26" t="s">
        <v>248</v>
      </c>
      <c r="J26" t="s">
        <v>248</v>
      </c>
      <c r="K26" t="s">
        <v>651</v>
      </c>
      <c r="L26" t="s">
        <v>650</v>
      </c>
      <c r="M26" t="s">
        <v>11</v>
      </c>
      <c r="N26" t="s">
        <v>206</v>
      </c>
      <c r="O26">
        <f t="shared" si="0"/>
        <v>1</v>
      </c>
      <c r="P26">
        <f t="shared" si="1"/>
        <v>1</v>
      </c>
      <c r="Q26">
        <f t="shared" si="2"/>
        <v>0</v>
      </c>
      <c r="R26">
        <f t="shared" si="3"/>
        <v>0</v>
      </c>
      <c r="S26">
        <f t="shared" si="4"/>
        <v>0</v>
      </c>
      <c r="T26">
        <f t="shared" si="5"/>
        <v>0</v>
      </c>
      <c r="U26">
        <f t="shared" si="6"/>
        <v>0</v>
      </c>
      <c r="V26">
        <f t="shared" si="7"/>
        <v>1</v>
      </c>
      <c r="W26">
        <f t="shared" si="8"/>
        <v>0</v>
      </c>
      <c r="X26">
        <f t="shared" si="9"/>
        <v>0</v>
      </c>
      <c r="Y26">
        <f t="shared" si="10"/>
        <v>0</v>
      </c>
      <c r="Z26">
        <f t="shared" si="11"/>
        <v>0</v>
      </c>
      <c r="AA26">
        <f t="shared" si="12"/>
        <v>0</v>
      </c>
      <c r="AB26">
        <f t="shared" si="13"/>
        <v>0</v>
      </c>
      <c r="AC26">
        <f t="shared" si="14"/>
        <v>1</v>
      </c>
      <c r="AD26">
        <f t="shared" si="15"/>
        <v>0</v>
      </c>
      <c r="AE26">
        <f t="shared" si="16"/>
        <v>0</v>
      </c>
      <c r="AF26">
        <f t="shared" si="17"/>
        <v>0</v>
      </c>
      <c r="AG26">
        <f t="shared" si="18"/>
        <v>0</v>
      </c>
      <c r="AH26">
        <f t="shared" si="19"/>
        <v>0</v>
      </c>
      <c r="AI26">
        <f t="shared" si="20"/>
        <v>0</v>
      </c>
      <c r="AJ26">
        <f t="shared" si="21"/>
        <v>1</v>
      </c>
      <c r="AK26">
        <f t="shared" si="22"/>
        <v>0</v>
      </c>
      <c r="AL26">
        <f t="shared" si="33"/>
        <v>1</v>
      </c>
      <c r="AM26">
        <f t="shared" si="34"/>
        <v>0</v>
      </c>
      <c r="AN26">
        <f t="shared" si="23"/>
        <v>0</v>
      </c>
      <c r="AO26">
        <f t="shared" si="24"/>
        <v>0</v>
      </c>
      <c r="AP26">
        <f t="shared" si="25"/>
        <v>0</v>
      </c>
      <c r="AQ26">
        <f t="shared" si="35"/>
        <v>1</v>
      </c>
      <c r="AR26">
        <f t="shared" si="36"/>
        <v>0</v>
      </c>
      <c r="AS26">
        <f t="shared" si="26"/>
        <v>0</v>
      </c>
      <c r="AT26">
        <f t="shared" si="27"/>
        <v>0</v>
      </c>
      <c r="AU26">
        <f t="shared" si="28"/>
        <v>0</v>
      </c>
      <c r="AV26">
        <f t="shared" si="29"/>
        <v>0</v>
      </c>
      <c r="AW26">
        <f t="shared" si="30"/>
        <v>0</v>
      </c>
      <c r="AX26">
        <f t="shared" si="31"/>
        <v>0</v>
      </c>
      <c r="AY26">
        <f t="shared" si="32"/>
        <v>0</v>
      </c>
      <c r="AZ26" t="s">
        <v>246</v>
      </c>
    </row>
    <row r="27" spans="1:52">
      <c r="A27">
        <v>26</v>
      </c>
      <c r="B27" s="14">
        <v>46178</v>
      </c>
      <c r="C27" t="s">
        <v>1</v>
      </c>
      <c r="D27" t="s">
        <v>8</v>
      </c>
      <c r="E27" t="s">
        <v>649</v>
      </c>
      <c r="F27" t="s">
        <v>16</v>
      </c>
      <c r="G27">
        <v>3</v>
      </c>
      <c r="H27" t="s">
        <v>248</v>
      </c>
      <c r="I27" t="s">
        <v>248</v>
      </c>
      <c r="J27" t="s">
        <v>248</v>
      </c>
      <c r="K27" t="s">
        <v>648</v>
      </c>
      <c r="L27" t="s">
        <v>191</v>
      </c>
      <c r="M27" t="s">
        <v>11</v>
      </c>
      <c r="N27" t="s">
        <v>206</v>
      </c>
      <c r="O27">
        <f t="shared" si="0"/>
        <v>0</v>
      </c>
      <c r="P27">
        <f t="shared" si="1"/>
        <v>1</v>
      </c>
      <c r="Q27">
        <f t="shared" si="2"/>
        <v>1</v>
      </c>
      <c r="R27">
        <f t="shared" si="3"/>
        <v>0</v>
      </c>
      <c r="S27">
        <f t="shared" si="4"/>
        <v>0</v>
      </c>
      <c r="T27">
        <f t="shared" si="5"/>
        <v>0</v>
      </c>
      <c r="U27">
        <f t="shared" si="6"/>
        <v>0</v>
      </c>
      <c r="V27">
        <f t="shared" si="7"/>
        <v>0</v>
      </c>
      <c r="W27">
        <f t="shared" si="8"/>
        <v>0</v>
      </c>
      <c r="X27">
        <f t="shared" si="9"/>
        <v>0</v>
      </c>
      <c r="Y27">
        <f t="shared" si="10"/>
        <v>0</v>
      </c>
      <c r="Z27">
        <f t="shared" si="11"/>
        <v>0</v>
      </c>
      <c r="AA27">
        <f t="shared" si="12"/>
        <v>0</v>
      </c>
      <c r="AB27">
        <f t="shared" si="13"/>
        <v>0</v>
      </c>
      <c r="AC27">
        <f t="shared" si="14"/>
        <v>0</v>
      </c>
      <c r="AD27">
        <f t="shared" si="15"/>
        <v>0</v>
      </c>
      <c r="AE27">
        <f t="shared" si="16"/>
        <v>0</v>
      </c>
      <c r="AF27">
        <f t="shared" si="17"/>
        <v>0</v>
      </c>
      <c r="AG27">
        <f t="shared" si="18"/>
        <v>1</v>
      </c>
      <c r="AH27">
        <f t="shared" si="19"/>
        <v>0</v>
      </c>
      <c r="AI27">
        <f t="shared" si="20"/>
        <v>0</v>
      </c>
      <c r="AJ27">
        <f t="shared" si="21"/>
        <v>1</v>
      </c>
      <c r="AK27">
        <f t="shared" si="22"/>
        <v>0</v>
      </c>
      <c r="AL27">
        <f t="shared" si="33"/>
        <v>1</v>
      </c>
      <c r="AM27">
        <f t="shared" si="34"/>
        <v>0</v>
      </c>
      <c r="AN27">
        <f t="shared" si="23"/>
        <v>0</v>
      </c>
      <c r="AO27">
        <f t="shared" si="24"/>
        <v>0</v>
      </c>
      <c r="AP27">
        <f t="shared" si="25"/>
        <v>0</v>
      </c>
      <c r="AQ27">
        <f t="shared" si="35"/>
        <v>0</v>
      </c>
      <c r="AR27">
        <f t="shared" si="36"/>
        <v>0</v>
      </c>
      <c r="AS27">
        <f t="shared" si="26"/>
        <v>0</v>
      </c>
      <c r="AT27">
        <f t="shared" si="27"/>
        <v>0</v>
      </c>
      <c r="AU27">
        <f t="shared" si="28"/>
        <v>0</v>
      </c>
      <c r="AV27">
        <f t="shared" si="29"/>
        <v>0</v>
      </c>
      <c r="AW27">
        <f t="shared" si="30"/>
        <v>0</v>
      </c>
      <c r="AX27">
        <f t="shared" si="31"/>
        <v>0</v>
      </c>
      <c r="AY27">
        <f t="shared" si="32"/>
        <v>0</v>
      </c>
      <c r="AZ27" t="s">
        <v>246</v>
      </c>
    </row>
    <row r="28" spans="1:52">
      <c r="A28">
        <v>27</v>
      </c>
      <c r="B28" s="14">
        <v>46178</v>
      </c>
      <c r="C28" t="s">
        <v>1</v>
      </c>
      <c r="D28" t="s">
        <v>8</v>
      </c>
      <c r="E28" t="s">
        <v>647</v>
      </c>
      <c r="F28" t="s">
        <v>16</v>
      </c>
      <c r="G28">
        <v>3</v>
      </c>
      <c r="H28">
        <v>7</v>
      </c>
      <c r="I28" t="s">
        <v>248</v>
      </c>
      <c r="J28" t="s">
        <v>248</v>
      </c>
      <c r="K28" t="s">
        <v>646</v>
      </c>
      <c r="L28" t="s">
        <v>645</v>
      </c>
      <c r="M28" t="s">
        <v>10</v>
      </c>
      <c r="N28" t="s">
        <v>206</v>
      </c>
      <c r="O28">
        <f t="shared" si="0"/>
        <v>1</v>
      </c>
      <c r="P28">
        <f t="shared" si="1"/>
        <v>1</v>
      </c>
      <c r="Q28">
        <f t="shared" si="2"/>
        <v>0</v>
      </c>
      <c r="R28">
        <f t="shared" si="3"/>
        <v>0</v>
      </c>
      <c r="S28">
        <f t="shared" si="4"/>
        <v>0</v>
      </c>
      <c r="T28">
        <f t="shared" si="5"/>
        <v>0</v>
      </c>
      <c r="U28">
        <f t="shared" si="6"/>
        <v>0</v>
      </c>
      <c r="V28">
        <f t="shared" si="7"/>
        <v>0</v>
      </c>
      <c r="W28">
        <f t="shared" si="8"/>
        <v>0</v>
      </c>
      <c r="X28">
        <f t="shared" si="9"/>
        <v>0</v>
      </c>
      <c r="Y28">
        <f t="shared" si="10"/>
        <v>0</v>
      </c>
      <c r="Z28">
        <f t="shared" si="11"/>
        <v>0</v>
      </c>
      <c r="AA28">
        <f t="shared" si="12"/>
        <v>1</v>
      </c>
      <c r="AB28">
        <f t="shared" si="13"/>
        <v>0</v>
      </c>
      <c r="AC28">
        <f t="shared" si="14"/>
        <v>0</v>
      </c>
      <c r="AD28">
        <f t="shared" si="15"/>
        <v>0</v>
      </c>
      <c r="AE28">
        <f t="shared" si="16"/>
        <v>1</v>
      </c>
      <c r="AF28">
        <f t="shared" si="17"/>
        <v>0</v>
      </c>
      <c r="AG28">
        <f t="shared" si="18"/>
        <v>0</v>
      </c>
      <c r="AH28">
        <f t="shared" si="19"/>
        <v>0</v>
      </c>
      <c r="AI28">
        <f t="shared" si="20"/>
        <v>0</v>
      </c>
      <c r="AJ28">
        <f t="shared" si="21"/>
        <v>0</v>
      </c>
      <c r="AK28">
        <f t="shared" si="22"/>
        <v>0</v>
      </c>
      <c r="AL28">
        <f t="shared" si="33"/>
        <v>0</v>
      </c>
      <c r="AM28">
        <f t="shared" si="34"/>
        <v>0</v>
      </c>
      <c r="AN28">
        <f t="shared" si="23"/>
        <v>0</v>
      </c>
      <c r="AO28">
        <f t="shared" si="24"/>
        <v>0</v>
      </c>
      <c r="AP28">
        <f t="shared" si="25"/>
        <v>0</v>
      </c>
      <c r="AQ28">
        <f t="shared" si="35"/>
        <v>0</v>
      </c>
      <c r="AR28">
        <f t="shared" si="36"/>
        <v>0</v>
      </c>
      <c r="AS28">
        <f t="shared" si="26"/>
        <v>0</v>
      </c>
      <c r="AT28">
        <f t="shared" si="27"/>
        <v>0</v>
      </c>
      <c r="AU28">
        <f t="shared" si="28"/>
        <v>0</v>
      </c>
      <c r="AV28">
        <f t="shared" si="29"/>
        <v>0</v>
      </c>
      <c r="AW28">
        <f t="shared" si="30"/>
        <v>0</v>
      </c>
      <c r="AX28">
        <f t="shared" si="31"/>
        <v>0</v>
      </c>
      <c r="AY28">
        <f t="shared" si="32"/>
        <v>0</v>
      </c>
      <c r="AZ28" t="s">
        <v>246</v>
      </c>
    </row>
    <row r="29" spans="1:52">
      <c r="A29">
        <v>28</v>
      </c>
      <c r="B29" s="14">
        <v>46178</v>
      </c>
      <c r="C29" t="s">
        <v>1</v>
      </c>
      <c r="D29" t="s">
        <v>8</v>
      </c>
      <c r="E29" t="s">
        <v>644</v>
      </c>
      <c r="F29" t="s">
        <v>6</v>
      </c>
      <c r="G29" t="s">
        <v>248</v>
      </c>
      <c r="H29" t="s">
        <v>248</v>
      </c>
      <c r="I29" t="s">
        <v>248</v>
      </c>
      <c r="J29" t="s">
        <v>248</v>
      </c>
      <c r="K29" t="s">
        <v>643</v>
      </c>
      <c r="L29" t="s">
        <v>191</v>
      </c>
      <c r="M29" t="s">
        <v>11</v>
      </c>
      <c r="N29" t="s">
        <v>206</v>
      </c>
      <c r="O29">
        <f t="shared" si="0"/>
        <v>0</v>
      </c>
      <c r="P29">
        <f t="shared" si="1"/>
        <v>1</v>
      </c>
      <c r="Q29">
        <f t="shared" si="2"/>
        <v>0</v>
      </c>
      <c r="R29">
        <f t="shared" si="3"/>
        <v>0</v>
      </c>
      <c r="S29">
        <f t="shared" si="4"/>
        <v>0</v>
      </c>
      <c r="T29">
        <f t="shared" si="5"/>
        <v>0</v>
      </c>
      <c r="U29">
        <f t="shared" si="6"/>
        <v>1</v>
      </c>
      <c r="V29">
        <f t="shared" si="7"/>
        <v>0</v>
      </c>
      <c r="W29">
        <f t="shared" si="8"/>
        <v>0</v>
      </c>
      <c r="X29">
        <f t="shared" si="9"/>
        <v>0</v>
      </c>
      <c r="Y29">
        <f t="shared" si="10"/>
        <v>0</v>
      </c>
      <c r="Z29">
        <f t="shared" si="11"/>
        <v>0</v>
      </c>
      <c r="AA29">
        <f t="shared" si="12"/>
        <v>1</v>
      </c>
      <c r="AB29">
        <f t="shared" si="13"/>
        <v>0</v>
      </c>
      <c r="AC29">
        <f t="shared" si="14"/>
        <v>1</v>
      </c>
      <c r="AD29">
        <f t="shared" si="15"/>
        <v>0</v>
      </c>
      <c r="AE29">
        <f t="shared" si="16"/>
        <v>0</v>
      </c>
      <c r="AF29">
        <f t="shared" si="17"/>
        <v>0</v>
      </c>
      <c r="AG29">
        <f t="shared" si="18"/>
        <v>0</v>
      </c>
      <c r="AH29">
        <f t="shared" si="19"/>
        <v>0</v>
      </c>
      <c r="AI29">
        <f t="shared" si="20"/>
        <v>0</v>
      </c>
      <c r="AJ29">
        <f t="shared" si="21"/>
        <v>0</v>
      </c>
      <c r="AK29">
        <f t="shared" si="22"/>
        <v>0</v>
      </c>
      <c r="AL29">
        <f t="shared" si="33"/>
        <v>1</v>
      </c>
      <c r="AM29">
        <f t="shared" si="34"/>
        <v>0</v>
      </c>
      <c r="AN29">
        <f t="shared" si="23"/>
        <v>0</v>
      </c>
      <c r="AO29">
        <f t="shared" si="24"/>
        <v>0</v>
      </c>
      <c r="AP29">
        <f t="shared" si="25"/>
        <v>0</v>
      </c>
      <c r="AQ29">
        <f t="shared" si="35"/>
        <v>0</v>
      </c>
      <c r="AR29">
        <f t="shared" si="36"/>
        <v>0</v>
      </c>
      <c r="AS29">
        <f t="shared" si="26"/>
        <v>0</v>
      </c>
      <c r="AT29">
        <f t="shared" si="27"/>
        <v>1</v>
      </c>
      <c r="AU29">
        <f t="shared" si="28"/>
        <v>0</v>
      </c>
      <c r="AV29">
        <f t="shared" si="29"/>
        <v>0</v>
      </c>
      <c r="AW29">
        <f t="shared" si="30"/>
        <v>0</v>
      </c>
      <c r="AX29">
        <f t="shared" si="31"/>
        <v>0</v>
      </c>
      <c r="AY29">
        <f t="shared" si="32"/>
        <v>0</v>
      </c>
      <c r="AZ29" t="s">
        <v>246</v>
      </c>
    </row>
    <row r="30" spans="1:52">
      <c r="A30">
        <v>29</v>
      </c>
      <c r="B30" s="14">
        <v>46178</v>
      </c>
      <c r="C30" t="s">
        <v>1</v>
      </c>
      <c r="D30" t="s">
        <v>8</v>
      </c>
      <c r="E30" t="s">
        <v>368</v>
      </c>
      <c r="F30" t="s">
        <v>16</v>
      </c>
      <c r="G30" t="s">
        <v>248</v>
      </c>
      <c r="H30" t="s">
        <v>248</v>
      </c>
      <c r="I30" t="s">
        <v>248</v>
      </c>
      <c r="J30" t="s">
        <v>248</v>
      </c>
      <c r="K30" t="s">
        <v>642</v>
      </c>
      <c r="L30" t="s">
        <v>191</v>
      </c>
      <c r="M30" t="s">
        <v>10</v>
      </c>
      <c r="N30" t="s">
        <v>206</v>
      </c>
      <c r="O30">
        <f t="shared" si="0"/>
        <v>0</v>
      </c>
      <c r="P30">
        <f t="shared" si="1"/>
        <v>0</v>
      </c>
      <c r="Q30">
        <f t="shared" si="2"/>
        <v>0</v>
      </c>
      <c r="R30">
        <f t="shared" si="3"/>
        <v>0</v>
      </c>
      <c r="S30">
        <f t="shared" si="4"/>
        <v>0</v>
      </c>
      <c r="T30">
        <f t="shared" si="5"/>
        <v>0</v>
      </c>
      <c r="U30">
        <f t="shared" si="6"/>
        <v>0</v>
      </c>
      <c r="V30">
        <f t="shared" si="7"/>
        <v>0</v>
      </c>
      <c r="W30">
        <f t="shared" si="8"/>
        <v>0</v>
      </c>
      <c r="X30">
        <f t="shared" si="9"/>
        <v>0</v>
      </c>
      <c r="Y30">
        <f t="shared" si="10"/>
        <v>0</v>
      </c>
      <c r="Z30">
        <f t="shared" si="11"/>
        <v>0</v>
      </c>
      <c r="AA30">
        <f t="shared" si="12"/>
        <v>0</v>
      </c>
      <c r="AB30">
        <f t="shared" si="13"/>
        <v>0</v>
      </c>
      <c r="AC30">
        <f t="shared" si="14"/>
        <v>0</v>
      </c>
      <c r="AD30">
        <f t="shared" si="15"/>
        <v>0</v>
      </c>
      <c r="AE30">
        <f t="shared" si="16"/>
        <v>0</v>
      </c>
      <c r="AF30">
        <f t="shared" si="17"/>
        <v>0</v>
      </c>
      <c r="AG30">
        <f t="shared" si="18"/>
        <v>0</v>
      </c>
      <c r="AH30">
        <f t="shared" si="19"/>
        <v>0</v>
      </c>
      <c r="AI30">
        <f t="shared" si="20"/>
        <v>0</v>
      </c>
      <c r="AJ30">
        <f t="shared" si="21"/>
        <v>1</v>
      </c>
      <c r="AK30">
        <f t="shared" si="22"/>
        <v>0</v>
      </c>
      <c r="AL30">
        <f t="shared" si="33"/>
        <v>1</v>
      </c>
      <c r="AM30">
        <f t="shared" si="34"/>
        <v>0</v>
      </c>
      <c r="AN30">
        <f t="shared" si="23"/>
        <v>0</v>
      </c>
      <c r="AO30">
        <f t="shared" si="24"/>
        <v>0</v>
      </c>
      <c r="AP30">
        <f t="shared" si="25"/>
        <v>0</v>
      </c>
      <c r="AQ30">
        <f t="shared" si="35"/>
        <v>0</v>
      </c>
      <c r="AR30">
        <f t="shared" si="36"/>
        <v>1</v>
      </c>
      <c r="AS30">
        <f t="shared" si="26"/>
        <v>0</v>
      </c>
      <c r="AT30">
        <f t="shared" si="27"/>
        <v>0</v>
      </c>
      <c r="AU30">
        <f t="shared" si="28"/>
        <v>0</v>
      </c>
      <c r="AV30">
        <f t="shared" si="29"/>
        <v>0</v>
      </c>
      <c r="AW30">
        <f t="shared" si="30"/>
        <v>0</v>
      </c>
      <c r="AX30">
        <f t="shared" si="31"/>
        <v>0</v>
      </c>
      <c r="AY30">
        <f t="shared" si="32"/>
        <v>0</v>
      </c>
      <c r="AZ30" t="s">
        <v>246</v>
      </c>
    </row>
    <row r="31" spans="1:52">
      <c r="A31">
        <v>30</v>
      </c>
      <c r="B31" s="14">
        <v>46178</v>
      </c>
      <c r="C31" t="s">
        <v>1</v>
      </c>
      <c r="D31" t="s">
        <v>8</v>
      </c>
      <c r="E31" t="s">
        <v>641</v>
      </c>
      <c r="F31" t="s">
        <v>3</v>
      </c>
      <c r="G31">
        <v>3</v>
      </c>
      <c r="H31" t="s">
        <v>248</v>
      </c>
      <c r="I31" t="s">
        <v>248</v>
      </c>
      <c r="J31" t="s">
        <v>248</v>
      </c>
      <c r="K31" t="s">
        <v>640</v>
      </c>
      <c r="L31" t="s">
        <v>639</v>
      </c>
      <c r="M31" t="s">
        <v>11</v>
      </c>
      <c r="N31" t="s">
        <v>202</v>
      </c>
      <c r="O31">
        <f t="shared" si="0"/>
        <v>1</v>
      </c>
      <c r="P31">
        <f t="shared" si="1"/>
        <v>1</v>
      </c>
      <c r="Q31">
        <f t="shared" si="2"/>
        <v>0</v>
      </c>
      <c r="R31">
        <f t="shared" si="3"/>
        <v>0</v>
      </c>
      <c r="S31">
        <f t="shared" si="4"/>
        <v>0</v>
      </c>
      <c r="T31">
        <f t="shared" si="5"/>
        <v>0</v>
      </c>
      <c r="U31">
        <f t="shared" si="6"/>
        <v>0</v>
      </c>
      <c r="V31">
        <f t="shared" si="7"/>
        <v>0</v>
      </c>
      <c r="W31">
        <f t="shared" si="8"/>
        <v>0</v>
      </c>
      <c r="X31">
        <f t="shared" si="9"/>
        <v>1</v>
      </c>
      <c r="Y31">
        <f t="shared" si="10"/>
        <v>0</v>
      </c>
      <c r="Z31">
        <f t="shared" si="11"/>
        <v>0</v>
      </c>
      <c r="AA31">
        <f t="shared" si="12"/>
        <v>0</v>
      </c>
      <c r="AB31">
        <f t="shared" si="13"/>
        <v>0</v>
      </c>
      <c r="AC31">
        <f t="shared" si="14"/>
        <v>0</v>
      </c>
      <c r="AD31">
        <f t="shared" si="15"/>
        <v>0</v>
      </c>
      <c r="AE31">
        <f t="shared" si="16"/>
        <v>0</v>
      </c>
      <c r="AF31">
        <f t="shared" si="17"/>
        <v>0</v>
      </c>
      <c r="AG31">
        <f t="shared" si="18"/>
        <v>0</v>
      </c>
      <c r="AH31">
        <f t="shared" si="19"/>
        <v>0</v>
      </c>
      <c r="AI31">
        <f t="shared" si="20"/>
        <v>0</v>
      </c>
      <c r="AJ31">
        <f t="shared" si="21"/>
        <v>0</v>
      </c>
      <c r="AK31">
        <f t="shared" si="22"/>
        <v>0</v>
      </c>
      <c r="AL31">
        <f t="shared" si="33"/>
        <v>0</v>
      </c>
      <c r="AM31">
        <f t="shared" si="34"/>
        <v>0</v>
      </c>
      <c r="AN31">
        <f t="shared" si="23"/>
        <v>0</v>
      </c>
      <c r="AO31">
        <f t="shared" si="24"/>
        <v>0</v>
      </c>
      <c r="AP31">
        <f t="shared" si="25"/>
        <v>1</v>
      </c>
      <c r="AQ31">
        <f t="shared" si="35"/>
        <v>1</v>
      </c>
      <c r="AR31">
        <f t="shared" si="36"/>
        <v>0</v>
      </c>
      <c r="AS31">
        <f t="shared" si="26"/>
        <v>0</v>
      </c>
      <c r="AT31">
        <f t="shared" si="27"/>
        <v>0</v>
      </c>
      <c r="AU31">
        <f t="shared" si="28"/>
        <v>0</v>
      </c>
      <c r="AV31">
        <f t="shared" si="29"/>
        <v>0</v>
      </c>
      <c r="AW31">
        <f t="shared" si="30"/>
        <v>0</v>
      </c>
      <c r="AX31">
        <f t="shared" si="31"/>
        <v>0</v>
      </c>
      <c r="AY31">
        <f t="shared" si="32"/>
        <v>0</v>
      </c>
      <c r="AZ31" t="s">
        <v>246</v>
      </c>
    </row>
    <row r="32" spans="1:52">
      <c r="A32">
        <v>31</v>
      </c>
      <c r="B32" s="14">
        <v>46178</v>
      </c>
      <c r="C32" t="s">
        <v>1</v>
      </c>
      <c r="D32" t="s">
        <v>8</v>
      </c>
      <c r="E32" t="s">
        <v>638</v>
      </c>
      <c r="F32" t="s">
        <v>17</v>
      </c>
      <c r="G32">
        <v>1</v>
      </c>
      <c r="H32">
        <v>3</v>
      </c>
      <c r="I32" t="s">
        <v>248</v>
      </c>
      <c r="J32" t="s">
        <v>248</v>
      </c>
      <c r="K32" t="s">
        <v>637</v>
      </c>
      <c r="L32" t="s">
        <v>636</v>
      </c>
      <c r="M32" t="s">
        <v>11</v>
      </c>
      <c r="N32" t="s">
        <v>202</v>
      </c>
      <c r="O32">
        <f t="shared" si="0"/>
        <v>1</v>
      </c>
      <c r="P32">
        <f t="shared" si="1"/>
        <v>1</v>
      </c>
      <c r="Q32">
        <f t="shared" si="2"/>
        <v>0</v>
      </c>
      <c r="R32">
        <f t="shared" si="3"/>
        <v>0</v>
      </c>
      <c r="S32">
        <f t="shared" si="4"/>
        <v>0</v>
      </c>
      <c r="T32">
        <f t="shared" si="5"/>
        <v>0</v>
      </c>
      <c r="U32">
        <f t="shared" si="6"/>
        <v>0</v>
      </c>
      <c r="V32">
        <f t="shared" si="7"/>
        <v>0</v>
      </c>
      <c r="W32">
        <f t="shared" si="8"/>
        <v>0</v>
      </c>
      <c r="X32">
        <f t="shared" si="9"/>
        <v>0</v>
      </c>
      <c r="Y32">
        <f t="shared" si="10"/>
        <v>0</v>
      </c>
      <c r="Z32">
        <f t="shared" si="11"/>
        <v>0</v>
      </c>
      <c r="AA32">
        <f t="shared" si="12"/>
        <v>0</v>
      </c>
      <c r="AB32">
        <f t="shared" si="13"/>
        <v>0</v>
      </c>
      <c r="AC32">
        <f t="shared" si="14"/>
        <v>1</v>
      </c>
      <c r="AD32">
        <f t="shared" si="15"/>
        <v>0</v>
      </c>
      <c r="AE32">
        <f t="shared" si="16"/>
        <v>0</v>
      </c>
      <c r="AF32">
        <f t="shared" si="17"/>
        <v>0</v>
      </c>
      <c r="AG32">
        <f t="shared" si="18"/>
        <v>0</v>
      </c>
      <c r="AH32">
        <f t="shared" si="19"/>
        <v>0</v>
      </c>
      <c r="AI32">
        <f t="shared" si="20"/>
        <v>0</v>
      </c>
      <c r="AJ32">
        <f t="shared" si="21"/>
        <v>0</v>
      </c>
      <c r="AK32">
        <f t="shared" si="22"/>
        <v>0</v>
      </c>
      <c r="AL32">
        <f t="shared" si="33"/>
        <v>0</v>
      </c>
      <c r="AM32">
        <f t="shared" si="34"/>
        <v>0</v>
      </c>
      <c r="AN32">
        <f t="shared" si="23"/>
        <v>0</v>
      </c>
      <c r="AO32">
        <f t="shared" si="24"/>
        <v>0</v>
      </c>
      <c r="AP32">
        <f t="shared" si="25"/>
        <v>0</v>
      </c>
      <c r="AQ32">
        <f t="shared" si="35"/>
        <v>0</v>
      </c>
      <c r="AR32">
        <f t="shared" si="36"/>
        <v>0</v>
      </c>
      <c r="AS32">
        <f t="shared" si="26"/>
        <v>0</v>
      </c>
      <c r="AT32">
        <f t="shared" si="27"/>
        <v>0</v>
      </c>
      <c r="AU32">
        <f t="shared" si="28"/>
        <v>0</v>
      </c>
      <c r="AV32">
        <f t="shared" si="29"/>
        <v>0</v>
      </c>
      <c r="AW32">
        <f t="shared" si="30"/>
        <v>0</v>
      </c>
      <c r="AX32">
        <f t="shared" si="31"/>
        <v>0</v>
      </c>
      <c r="AY32">
        <f t="shared" si="32"/>
        <v>0</v>
      </c>
      <c r="AZ32" t="s">
        <v>246</v>
      </c>
    </row>
    <row r="33" spans="1:52">
      <c r="A33">
        <v>32</v>
      </c>
      <c r="B33" s="14">
        <v>46178</v>
      </c>
      <c r="C33" t="s">
        <v>1</v>
      </c>
      <c r="D33" t="s">
        <v>8</v>
      </c>
      <c r="E33" t="s">
        <v>635</v>
      </c>
      <c r="F33" t="s">
        <v>3</v>
      </c>
      <c r="G33">
        <v>7</v>
      </c>
      <c r="H33">
        <v>12</v>
      </c>
      <c r="I33" t="s">
        <v>248</v>
      </c>
      <c r="J33" t="s">
        <v>248</v>
      </c>
      <c r="K33" t="s">
        <v>634</v>
      </c>
      <c r="L33" t="s">
        <v>633</v>
      </c>
      <c r="M33" t="s">
        <v>10</v>
      </c>
      <c r="N33" t="s">
        <v>198</v>
      </c>
      <c r="O33">
        <f t="shared" si="0"/>
        <v>1</v>
      </c>
      <c r="P33">
        <f t="shared" si="1"/>
        <v>1</v>
      </c>
      <c r="Q33">
        <f t="shared" si="2"/>
        <v>0</v>
      </c>
      <c r="R33">
        <f t="shared" si="3"/>
        <v>0</v>
      </c>
      <c r="S33">
        <f t="shared" si="4"/>
        <v>0</v>
      </c>
      <c r="T33">
        <f t="shared" si="5"/>
        <v>0</v>
      </c>
      <c r="U33">
        <f t="shared" si="6"/>
        <v>1</v>
      </c>
      <c r="V33">
        <f t="shared" si="7"/>
        <v>0</v>
      </c>
      <c r="W33">
        <f t="shared" si="8"/>
        <v>0</v>
      </c>
      <c r="X33">
        <f t="shared" si="9"/>
        <v>1</v>
      </c>
      <c r="Y33">
        <f t="shared" si="10"/>
        <v>0</v>
      </c>
      <c r="Z33">
        <f t="shared" si="11"/>
        <v>0</v>
      </c>
      <c r="AA33">
        <f t="shared" si="12"/>
        <v>0</v>
      </c>
      <c r="AB33">
        <f t="shared" si="13"/>
        <v>0</v>
      </c>
      <c r="AC33">
        <f t="shared" si="14"/>
        <v>0</v>
      </c>
      <c r="AD33">
        <f t="shared" si="15"/>
        <v>0</v>
      </c>
      <c r="AE33">
        <f t="shared" si="16"/>
        <v>0</v>
      </c>
      <c r="AF33">
        <f t="shared" si="17"/>
        <v>0</v>
      </c>
      <c r="AG33">
        <f t="shared" si="18"/>
        <v>0</v>
      </c>
      <c r="AH33">
        <f t="shared" si="19"/>
        <v>0</v>
      </c>
      <c r="AI33">
        <f t="shared" si="20"/>
        <v>0</v>
      </c>
      <c r="AJ33">
        <f t="shared" si="21"/>
        <v>0</v>
      </c>
      <c r="AK33">
        <f t="shared" si="22"/>
        <v>0</v>
      </c>
      <c r="AL33">
        <f t="shared" si="33"/>
        <v>0</v>
      </c>
      <c r="AM33">
        <f t="shared" si="34"/>
        <v>0</v>
      </c>
      <c r="AN33">
        <f t="shared" si="23"/>
        <v>0</v>
      </c>
      <c r="AO33">
        <f t="shared" si="24"/>
        <v>1</v>
      </c>
      <c r="AP33">
        <f t="shared" si="25"/>
        <v>0</v>
      </c>
      <c r="AQ33">
        <f t="shared" si="35"/>
        <v>0</v>
      </c>
      <c r="AR33">
        <f t="shared" si="36"/>
        <v>0</v>
      </c>
      <c r="AS33">
        <f t="shared" si="26"/>
        <v>1</v>
      </c>
      <c r="AT33">
        <f t="shared" si="27"/>
        <v>0</v>
      </c>
      <c r="AU33">
        <f t="shared" si="28"/>
        <v>0</v>
      </c>
      <c r="AV33">
        <f t="shared" si="29"/>
        <v>0</v>
      </c>
      <c r="AW33">
        <f t="shared" si="30"/>
        <v>0</v>
      </c>
      <c r="AX33">
        <f t="shared" si="31"/>
        <v>0</v>
      </c>
      <c r="AY33">
        <f t="shared" si="32"/>
        <v>0</v>
      </c>
      <c r="AZ33" t="s">
        <v>246</v>
      </c>
    </row>
    <row r="34" spans="1:52">
      <c r="A34">
        <v>33</v>
      </c>
      <c r="B34" s="14">
        <v>46178</v>
      </c>
      <c r="C34" t="s">
        <v>1</v>
      </c>
      <c r="D34" t="s">
        <v>8</v>
      </c>
      <c r="E34" t="s">
        <v>632</v>
      </c>
      <c r="F34" t="s">
        <v>14</v>
      </c>
      <c r="G34" t="s">
        <v>248</v>
      </c>
      <c r="H34" t="s">
        <v>248</v>
      </c>
      <c r="I34" t="s">
        <v>248</v>
      </c>
      <c r="J34" t="s">
        <v>248</v>
      </c>
      <c r="K34" t="s">
        <v>631</v>
      </c>
      <c r="L34" t="s">
        <v>630</v>
      </c>
      <c r="M34" t="s">
        <v>11</v>
      </c>
      <c r="N34" t="s">
        <v>206</v>
      </c>
      <c r="O34">
        <f t="shared" si="0"/>
        <v>1</v>
      </c>
      <c r="P34">
        <f t="shared" si="1"/>
        <v>1</v>
      </c>
      <c r="Q34">
        <f t="shared" si="2"/>
        <v>0</v>
      </c>
      <c r="R34">
        <f t="shared" si="3"/>
        <v>0</v>
      </c>
      <c r="S34">
        <f t="shared" si="4"/>
        <v>0</v>
      </c>
      <c r="T34">
        <f t="shared" si="5"/>
        <v>0</v>
      </c>
      <c r="U34">
        <f t="shared" si="6"/>
        <v>0</v>
      </c>
      <c r="V34">
        <f t="shared" si="7"/>
        <v>0</v>
      </c>
      <c r="W34">
        <f t="shared" si="8"/>
        <v>0</v>
      </c>
      <c r="X34">
        <f t="shared" si="9"/>
        <v>0</v>
      </c>
      <c r="Y34">
        <f t="shared" si="10"/>
        <v>0</v>
      </c>
      <c r="Z34">
        <f t="shared" si="11"/>
        <v>0</v>
      </c>
      <c r="AA34">
        <f t="shared" si="12"/>
        <v>1</v>
      </c>
      <c r="AB34">
        <f t="shared" si="13"/>
        <v>0</v>
      </c>
      <c r="AC34">
        <f t="shared" si="14"/>
        <v>0</v>
      </c>
      <c r="AD34">
        <f t="shared" si="15"/>
        <v>0</v>
      </c>
      <c r="AE34">
        <f t="shared" si="16"/>
        <v>0</v>
      </c>
      <c r="AF34">
        <f t="shared" si="17"/>
        <v>0</v>
      </c>
      <c r="AG34">
        <f t="shared" si="18"/>
        <v>0</v>
      </c>
      <c r="AH34">
        <f t="shared" si="19"/>
        <v>0</v>
      </c>
      <c r="AI34">
        <f t="shared" si="20"/>
        <v>0</v>
      </c>
      <c r="AJ34">
        <f t="shared" si="21"/>
        <v>0</v>
      </c>
      <c r="AK34">
        <f t="shared" si="22"/>
        <v>0</v>
      </c>
      <c r="AL34">
        <f t="shared" si="33"/>
        <v>0</v>
      </c>
      <c r="AM34">
        <f t="shared" si="34"/>
        <v>0</v>
      </c>
      <c r="AN34">
        <f t="shared" si="23"/>
        <v>0</v>
      </c>
      <c r="AO34">
        <f t="shared" si="24"/>
        <v>0</v>
      </c>
      <c r="AP34">
        <f t="shared" si="25"/>
        <v>0</v>
      </c>
      <c r="AQ34">
        <f t="shared" si="35"/>
        <v>0</v>
      </c>
      <c r="AR34">
        <f t="shared" si="36"/>
        <v>0</v>
      </c>
      <c r="AS34">
        <f t="shared" si="26"/>
        <v>0</v>
      </c>
      <c r="AT34">
        <f t="shared" si="27"/>
        <v>0</v>
      </c>
      <c r="AU34">
        <f t="shared" si="28"/>
        <v>0</v>
      </c>
      <c r="AV34">
        <f t="shared" si="29"/>
        <v>0</v>
      </c>
      <c r="AW34">
        <f t="shared" si="30"/>
        <v>0</v>
      </c>
      <c r="AX34">
        <f t="shared" si="31"/>
        <v>0</v>
      </c>
      <c r="AY34">
        <f t="shared" si="32"/>
        <v>0</v>
      </c>
      <c r="AZ34" t="s">
        <v>246</v>
      </c>
    </row>
    <row r="35" spans="1:52">
      <c r="A35">
        <v>34</v>
      </c>
      <c r="B35" s="14">
        <v>46178</v>
      </c>
      <c r="C35" t="s">
        <v>1</v>
      </c>
      <c r="D35" t="s">
        <v>8</v>
      </c>
      <c r="E35" t="s">
        <v>629</v>
      </c>
      <c r="F35" t="s">
        <v>3</v>
      </c>
      <c r="G35">
        <v>4</v>
      </c>
      <c r="H35">
        <v>6</v>
      </c>
      <c r="I35" t="s">
        <v>248</v>
      </c>
      <c r="J35" t="s">
        <v>248</v>
      </c>
      <c r="K35" t="s">
        <v>628</v>
      </c>
      <c r="L35" t="s">
        <v>627</v>
      </c>
      <c r="M35" t="s">
        <v>11</v>
      </c>
      <c r="N35" t="s">
        <v>198</v>
      </c>
      <c r="O35">
        <f t="shared" si="0"/>
        <v>1</v>
      </c>
      <c r="P35">
        <f t="shared" si="1"/>
        <v>1</v>
      </c>
      <c r="Q35">
        <f t="shared" si="2"/>
        <v>0</v>
      </c>
      <c r="R35">
        <f t="shared" si="3"/>
        <v>0</v>
      </c>
      <c r="S35">
        <f t="shared" si="4"/>
        <v>0</v>
      </c>
      <c r="T35">
        <f t="shared" si="5"/>
        <v>0</v>
      </c>
      <c r="U35">
        <f t="shared" si="6"/>
        <v>0</v>
      </c>
      <c r="V35">
        <f t="shared" si="7"/>
        <v>0</v>
      </c>
      <c r="W35">
        <f t="shared" si="8"/>
        <v>0</v>
      </c>
      <c r="X35">
        <f t="shared" si="9"/>
        <v>0</v>
      </c>
      <c r="Y35">
        <f t="shared" si="10"/>
        <v>0</v>
      </c>
      <c r="Z35">
        <f t="shared" si="11"/>
        <v>0</v>
      </c>
      <c r="AA35">
        <f t="shared" si="12"/>
        <v>0</v>
      </c>
      <c r="AB35">
        <f t="shared" si="13"/>
        <v>0</v>
      </c>
      <c r="AC35">
        <f t="shared" si="14"/>
        <v>0</v>
      </c>
      <c r="AD35">
        <f t="shared" si="15"/>
        <v>0</v>
      </c>
      <c r="AE35">
        <f t="shared" si="16"/>
        <v>0</v>
      </c>
      <c r="AF35">
        <f t="shared" si="17"/>
        <v>0</v>
      </c>
      <c r="AG35">
        <f t="shared" si="18"/>
        <v>0</v>
      </c>
      <c r="AH35">
        <f t="shared" si="19"/>
        <v>0</v>
      </c>
      <c r="AI35">
        <f t="shared" si="20"/>
        <v>0</v>
      </c>
      <c r="AJ35">
        <f t="shared" si="21"/>
        <v>0</v>
      </c>
      <c r="AK35">
        <f t="shared" si="22"/>
        <v>0</v>
      </c>
      <c r="AL35">
        <f t="shared" si="33"/>
        <v>0</v>
      </c>
      <c r="AM35">
        <f t="shared" si="34"/>
        <v>0</v>
      </c>
      <c r="AN35">
        <f t="shared" si="23"/>
        <v>0</v>
      </c>
      <c r="AO35">
        <f t="shared" si="24"/>
        <v>0</v>
      </c>
      <c r="AP35">
        <f t="shared" si="25"/>
        <v>0</v>
      </c>
      <c r="AQ35">
        <f t="shared" si="35"/>
        <v>0</v>
      </c>
      <c r="AR35">
        <f t="shared" si="36"/>
        <v>0</v>
      </c>
      <c r="AS35">
        <f t="shared" si="26"/>
        <v>0</v>
      </c>
      <c r="AT35">
        <f t="shared" si="27"/>
        <v>0</v>
      </c>
      <c r="AU35">
        <f t="shared" si="28"/>
        <v>0</v>
      </c>
      <c r="AV35">
        <f t="shared" si="29"/>
        <v>0</v>
      </c>
      <c r="AW35">
        <f t="shared" si="30"/>
        <v>0</v>
      </c>
      <c r="AX35">
        <f t="shared" si="31"/>
        <v>0</v>
      </c>
      <c r="AY35">
        <f t="shared" si="32"/>
        <v>0</v>
      </c>
      <c r="AZ35" t="s">
        <v>246</v>
      </c>
    </row>
    <row r="36" spans="1:52">
      <c r="A36">
        <v>35</v>
      </c>
      <c r="B36" s="14">
        <v>46178</v>
      </c>
      <c r="C36" t="s">
        <v>1</v>
      </c>
      <c r="D36" t="s">
        <v>8</v>
      </c>
      <c r="E36" t="s">
        <v>626</v>
      </c>
      <c r="F36" t="s">
        <v>3</v>
      </c>
      <c r="G36">
        <v>2</v>
      </c>
      <c r="H36">
        <v>5</v>
      </c>
      <c r="I36" t="s">
        <v>248</v>
      </c>
      <c r="J36" t="s">
        <v>248</v>
      </c>
      <c r="K36" t="s">
        <v>625</v>
      </c>
      <c r="L36" t="s">
        <v>191</v>
      </c>
      <c r="M36" t="s">
        <v>11</v>
      </c>
      <c r="N36" t="s">
        <v>206</v>
      </c>
      <c r="O36">
        <f t="shared" si="0"/>
        <v>1</v>
      </c>
      <c r="P36">
        <f t="shared" si="1"/>
        <v>1</v>
      </c>
      <c r="Q36">
        <f t="shared" si="2"/>
        <v>0</v>
      </c>
      <c r="R36">
        <f t="shared" si="3"/>
        <v>0</v>
      </c>
      <c r="S36">
        <f t="shared" si="4"/>
        <v>0</v>
      </c>
      <c r="T36">
        <f t="shared" si="5"/>
        <v>0</v>
      </c>
      <c r="U36">
        <f t="shared" si="6"/>
        <v>1</v>
      </c>
      <c r="V36">
        <f t="shared" si="7"/>
        <v>0</v>
      </c>
      <c r="W36">
        <f t="shared" si="8"/>
        <v>0</v>
      </c>
      <c r="X36">
        <f t="shared" si="9"/>
        <v>0</v>
      </c>
      <c r="Y36">
        <f t="shared" si="10"/>
        <v>0</v>
      </c>
      <c r="Z36">
        <f t="shared" si="11"/>
        <v>0</v>
      </c>
      <c r="AA36">
        <f t="shared" si="12"/>
        <v>1</v>
      </c>
      <c r="AB36">
        <f t="shared" si="13"/>
        <v>0</v>
      </c>
      <c r="AC36">
        <f t="shared" si="14"/>
        <v>0</v>
      </c>
      <c r="AD36">
        <f t="shared" si="15"/>
        <v>0</v>
      </c>
      <c r="AE36">
        <f t="shared" si="16"/>
        <v>1</v>
      </c>
      <c r="AF36">
        <f t="shared" si="17"/>
        <v>0</v>
      </c>
      <c r="AG36">
        <f t="shared" si="18"/>
        <v>0</v>
      </c>
      <c r="AH36">
        <f t="shared" si="19"/>
        <v>0</v>
      </c>
      <c r="AI36">
        <f t="shared" si="20"/>
        <v>0</v>
      </c>
      <c r="AJ36">
        <f t="shared" si="21"/>
        <v>0</v>
      </c>
      <c r="AK36">
        <f t="shared" si="22"/>
        <v>0</v>
      </c>
      <c r="AL36">
        <f t="shared" si="33"/>
        <v>0</v>
      </c>
      <c r="AM36">
        <f t="shared" si="34"/>
        <v>0</v>
      </c>
      <c r="AN36">
        <f t="shared" si="23"/>
        <v>0</v>
      </c>
      <c r="AO36">
        <f t="shared" si="24"/>
        <v>0</v>
      </c>
      <c r="AP36">
        <f t="shared" si="25"/>
        <v>0</v>
      </c>
      <c r="AQ36">
        <f t="shared" si="35"/>
        <v>0</v>
      </c>
      <c r="AR36">
        <f t="shared" si="36"/>
        <v>0</v>
      </c>
      <c r="AS36">
        <f t="shared" si="26"/>
        <v>0</v>
      </c>
      <c r="AT36">
        <f t="shared" si="27"/>
        <v>0</v>
      </c>
      <c r="AU36">
        <f t="shared" si="28"/>
        <v>0</v>
      </c>
      <c r="AV36">
        <f t="shared" si="29"/>
        <v>0</v>
      </c>
      <c r="AW36">
        <f t="shared" si="30"/>
        <v>0</v>
      </c>
      <c r="AX36">
        <f t="shared" si="31"/>
        <v>0</v>
      </c>
      <c r="AY36">
        <f t="shared" si="32"/>
        <v>0</v>
      </c>
      <c r="AZ36" t="s">
        <v>246</v>
      </c>
    </row>
    <row r="37" spans="1:52">
      <c r="A37">
        <v>36</v>
      </c>
      <c r="B37" s="14">
        <v>46178</v>
      </c>
      <c r="C37" t="s">
        <v>1</v>
      </c>
      <c r="D37" t="s">
        <v>8</v>
      </c>
      <c r="E37" t="s">
        <v>624</v>
      </c>
      <c r="F37" t="s">
        <v>3</v>
      </c>
      <c r="G37">
        <v>2</v>
      </c>
      <c r="H37">
        <v>5</v>
      </c>
      <c r="I37" t="s">
        <v>248</v>
      </c>
      <c r="J37" t="s">
        <v>248</v>
      </c>
      <c r="K37" t="s">
        <v>623</v>
      </c>
      <c r="L37" t="s">
        <v>622</v>
      </c>
      <c r="M37" t="s">
        <v>10</v>
      </c>
      <c r="N37" t="s">
        <v>198</v>
      </c>
      <c r="O37">
        <f t="shared" si="0"/>
        <v>0</v>
      </c>
      <c r="P37">
        <f t="shared" si="1"/>
        <v>1</v>
      </c>
      <c r="Q37">
        <f t="shared" si="2"/>
        <v>0</v>
      </c>
      <c r="R37">
        <f t="shared" si="3"/>
        <v>0</v>
      </c>
      <c r="S37">
        <f t="shared" si="4"/>
        <v>0</v>
      </c>
      <c r="T37">
        <f t="shared" si="5"/>
        <v>0</v>
      </c>
      <c r="U37">
        <f t="shared" si="6"/>
        <v>0</v>
      </c>
      <c r="V37">
        <f t="shared" si="7"/>
        <v>1</v>
      </c>
      <c r="W37">
        <f t="shared" si="8"/>
        <v>0</v>
      </c>
      <c r="X37">
        <f t="shared" si="9"/>
        <v>0</v>
      </c>
      <c r="Y37">
        <f t="shared" si="10"/>
        <v>0</v>
      </c>
      <c r="Z37">
        <f t="shared" si="11"/>
        <v>0</v>
      </c>
      <c r="AA37">
        <f t="shared" si="12"/>
        <v>0</v>
      </c>
      <c r="AB37">
        <f t="shared" si="13"/>
        <v>0</v>
      </c>
      <c r="AC37">
        <f t="shared" si="14"/>
        <v>0</v>
      </c>
      <c r="AD37">
        <f t="shared" si="15"/>
        <v>0</v>
      </c>
      <c r="AE37">
        <f t="shared" si="16"/>
        <v>0</v>
      </c>
      <c r="AF37">
        <f t="shared" si="17"/>
        <v>0</v>
      </c>
      <c r="AG37">
        <f t="shared" si="18"/>
        <v>0</v>
      </c>
      <c r="AH37">
        <f t="shared" si="19"/>
        <v>0</v>
      </c>
      <c r="AI37">
        <f t="shared" si="20"/>
        <v>0</v>
      </c>
      <c r="AJ37">
        <f t="shared" si="21"/>
        <v>0</v>
      </c>
      <c r="AK37">
        <f t="shared" si="22"/>
        <v>0</v>
      </c>
      <c r="AL37">
        <f t="shared" si="33"/>
        <v>0</v>
      </c>
      <c r="AM37">
        <f t="shared" si="34"/>
        <v>0</v>
      </c>
      <c r="AN37">
        <f t="shared" si="23"/>
        <v>1</v>
      </c>
      <c r="AO37">
        <f t="shared" si="24"/>
        <v>1</v>
      </c>
      <c r="AP37">
        <f t="shared" si="25"/>
        <v>0</v>
      </c>
      <c r="AQ37">
        <f t="shared" si="35"/>
        <v>0</v>
      </c>
      <c r="AR37">
        <f t="shared" si="36"/>
        <v>0</v>
      </c>
      <c r="AS37">
        <f t="shared" si="26"/>
        <v>0</v>
      </c>
      <c r="AT37">
        <f t="shared" si="27"/>
        <v>0</v>
      </c>
      <c r="AU37">
        <f t="shared" si="28"/>
        <v>0</v>
      </c>
      <c r="AV37">
        <f t="shared" si="29"/>
        <v>0</v>
      </c>
      <c r="AW37">
        <f t="shared" si="30"/>
        <v>0</v>
      </c>
      <c r="AX37">
        <f t="shared" si="31"/>
        <v>0</v>
      </c>
      <c r="AY37">
        <f t="shared" si="32"/>
        <v>0</v>
      </c>
      <c r="AZ37" t="s">
        <v>246</v>
      </c>
    </row>
    <row r="38" spans="1:52">
      <c r="A38">
        <v>37</v>
      </c>
      <c r="B38" s="14">
        <v>46178</v>
      </c>
      <c r="C38" t="s">
        <v>1</v>
      </c>
      <c r="D38" t="s">
        <v>4</v>
      </c>
      <c r="E38" t="s">
        <v>621</v>
      </c>
      <c r="F38" t="s">
        <v>3</v>
      </c>
      <c r="G38">
        <v>3</v>
      </c>
      <c r="H38">
        <v>6</v>
      </c>
      <c r="I38" t="s">
        <v>248</v>
      </c>
      <c r="J38" t="s">
        <v>248</v>
      </c>
      <c r="K38" t="s">
        <v>620</v>
      </c>
      <c r="L38" t="s">
        <v>619</v>
      </c>
      <c r="M38" t="s">
        <v>10</v>
      </c>
      <c r="N38" t="s">
        <v>198</v>
      </c>
      <c r="O38">
        <f t="shared" si="0"/>
        <v>1</v>
      </c>
      <c r="P38">
        <f t="shared" si="1"/>
        <v>1</v>
      </c>
      <c r="Q38">
        <f t="shared" si="2"/>
        <v>0</v>
      </c>
      <c r="R38">
        <f t="shared" si="3"/>
        <v>0</v>
      </c>
      <c r="S38">
        <f t="shared" si="4"/>
        <v>1</v>
      </c>
      <c r="T38">
        <f t="shared" si="5"/>
        <v>0</v>
      </c>
      <c r="U38">
        <f t="shared" si="6"/>
        <v>0</v>
      </c>
      <c r="V38">
        <f t="shared" si="7"/>
        <v>0</v>
      </c>
      <c r="W38">
        <f t="shared" si="8"/>
        <v>0</v>
      </c>
      <c r="X38">
        <f t="shared" si="9"/>
        <v>0</v>
      </c>
      <c r="Y38">
        <f t="shared" si="10"/>
        <v>0</v>
      </c>
      <c r="Z38">
        <f t="shared" si="11"/>
        <v>0</v>
      </c>
      <c r="AA38">
        <f t="shared" si="12"/>
        <v>0</v>
      </c>
      <c r="AB38">
        <f t="shared" si="13"/>
        <v>0</v>
      </c>
      <c r="AC38">
        <f t="shared" si="14"/>
        <v>0</v>
      </c>
      <c r="AD38">
        <f t="shared" si="15"/>
        <v>0</v>
      </c>
      <c r="AE38">
        <f t="shared" si="16"/>
        <v>0</v>
      </c>
      <c r="AF38">
        <f t="shared" si="17"/>
        <v>0</v>
      </c>
      <c r="AG38">
        <f t="shared" si="18"/>
        <v>0</v>
      </c>
      <c r="AH38">
        <f t="shared" si="19"/>
        <v>0</v>
      </c>
      <c r="AI38">
        <f t="shared" si="20"/>
        <v>0</v>
      </c>
      <c r="AJ38">
        <f t="shared" si="21"/>
        <v>0</v>
      </c>
      <c r="AK38">
        <f t="shared" si="22"/>
        <v>0</v>
      </c>
      <c r="AL38">
        <f t="shared" si="33"/>
        <v>0</v>
      </c>
      <c r="AM38">
        <f t="shared" si="34"/>
        <v>0</v>
      </c>
      <c r="AN38">
        <f t="shared" si="23"/>
        <v>0</v>
      </c>
      <c r="AO38">
        <f t="shared" si="24"/>
        <v>0</v>
      </c>
      <c r="AP38">
        <f t="shared" si="25"/>
        <v>0</v>
      </c>
      <c r="AQ38">
        <f t="shared" si="35"/>
        <v>0</v>
      </c>
      <c r="AR38">
        <f t="shared" si="36"/>
        <v>0</v>
      </c>
      <c r="AS38">
        <f t="shared" si="26"/>
        <v>0</v>
      </c>
      <c r="AT38">
        <f t="shared" si="27"/>
        <v>0</v>
      </c>
      <c r="AU38">
        <f t="shared" si="28"/>
        <v>0</v>
      </c>
      <c r="AV38">
        <f t="shared" si="29"/>
        <v>0</v>
      </c>
      <c r="AW38">
        <f t="shared" si="30"/>
        <v>0</v>
      </c>
      <c r="AX38">
        <f t="shared" si="31"/>
        <v>0</v>
      </c>
      <c r="AY38">
        <f t="shared" si="32"/>
        <v>0</v>
      </c>
      <c r="AZ38" t="s">
        <v>246</v>
      </c>
    </row>
    <row r="39" spans="1:52">
      <c r="A39">
        <v>38</v>
      </c>
      <c r="B39" s="14">
        <v>46178</v>
      </c>
      <c r="C39" t="s">
        <v>1</v>
      </c>
      <c r="D39" t="s">
        <v>4</v>
      </c>
      <c r="E39" t="s">
        <v>618</v>
      </c>
      <c r="F39" t="s">
        <v>6</v>
      </c>
      <c r="G39">
        <v>2</v>
      </c>
      <c r="H39">
        <v>3</v>
      </c>
      <c r="I39" t="s">
        <v>248</v>
      </c>
      <c r="J39" t="s">
        <v>248</v>
      </c>
      <c r="K39" t="s">
        <v>617</v>
      </c>
      <c r="L39" t="s">
        <v>616</v>
      </c>
      <c r="M39" t="s">
        <v>10</v>
      </c>
      <c r="N39" t="s">
        <v>190</v>
      </c>
      <c r="O39">
        <f t="shared" si="0"/>
        <v>1</v>
      </c>
      <c r="P39">
        <f t="shared" si="1"/>
        <v>0</v>
      </c>
      <c r="Q39">
        <f t="shared" si="2"/>
        <v>0</v>
      </c>
      <c r="R39">
        <f t="shared" si="3"/>
        <v>0</v>
      </c>
      <c r="S39">
        <f t="shared" si="4"/>
        <v>1</v>
      </c>
      <c r="T39">
        <f t="shared" si="5"/>
        <v>0</v>
      </c>
      <c r="U39">
        <f t="shared" si="6"/>
        <v>0</v>
      </c>
      <c r="V39">
        <f t="shared" si="7"/>
        <v>0</v>
      </c>
      <c r="W39">
        <f t="shared" si="8"/>
        <v>0</v>
      </c>
      <c r="X39">
        <f t="shared" si="9"/>
        <v>0</v>
      </c>
      <c r="Y39">
        <f t="shared" si="10"/>
        <v>0</v>
      </c>
      <c r="Z39">
        <f t="shared" si="11"/>
        <v>0</v>
      </c>
      <c r="AA39">
        <f t="shared" si="12"/>
        <v>0</v>
      </c>
      <c r="AB39">
        <f t="shared" si="13"/>
        <v>0</v>
      </c>
      <c r="AC39">
        <f t="shared" si="14"/>
        <v>0</v>
      </c>
      <c r="AD39">
        <f t="shared" si="15"/>
        <v>0</v>
      </c>
      <c r="AE39">
        <f t="shared" si="16"/>
        <v>0</v>
      </c>
      <c r="AF39">
        <f t="shared" si="17"/>
        <v>0</v>
      </c>
      <c r="AG39">
        <f t="shared" si="18"/>
        <v>0</v>
      </c>
      <c r="AH39">
        <f t="shared" si="19"/>
        <v>0</v>
      </c>
      <c r="AI39">
        <f t="shared" si="20"/>
        <v>0</v>
      </c>
      <c r="AJ39">
        <f t="shared" si="21"/>
        <v>0</v>
      </c>
      <c r="AK39">
        <f t="shared" si="22"/>
        <v>0</v>
      </c>
      <c r="AL39">
        <f t="shared" si="33"/>
        <v>0</v>
      </c>
      <c r="AM39">
        <f t="shared" si="34"/>
        <v>0</v>
      </c>
      <c r="AN39">
        <f t="shared" si="23"/>
        <v>0</v>
      </c>
      <c r="AO39">
        <f t="shared" si="24"/>
        <v>0</v>
      </c>
      <c r="AP39">
        <f t="shared" si="25"/>
        <v>0</v>
      </c>
      <c r="AQ39">
        <f t="shared" si="35"/>
        <v>0</v>
      </c>
      <c r="AR39">
        <f t="shared" si="36"/>
        <v>0</v>
      </c>
      <c r="AS39">
        <f t="shared" si="26"/>
        <v>0</v>
      </c>
      <c r="AT39">
        <f t="shared" si="27"/>
        <v>0</v>
      </c>
      <c r="AU39">
        <f t="shared" si="28"/>
        <v>0</v>
      </c>
      <c r="AV39">
        <f t="shared" si="29"/>
        <v>0</v>
      </c>
      <c r="AW39">
        <f t="shared" si="30"/>
        <v>0</v>
      </c>
      <c r="AX39">
        <f t="shared" si="31"/>
        <v>0</v>
      </c>
      <c r="AY39">
        <f t="shared" si="32"/>
        <v>0</v>
      </c>
      <c r="AZ39" t="s">
        <v>246</v>
      </c>
    </row>
    <row r="40" spans="1:52">
      <c r="A40">
        <v>39</v>
      </c>
      <c r="B40" s="14">
        <v>46178</v>
      </c>
      <c r="C40" t="s">
        <v>1</v>
      </c>
      <c r="D40" t="s">
        <v>4</v>
      </c>
      <c r="E40" t="s">
        <v>615</v>
      </c>
      <c r="F40" t="s">
        <v>3</v>
      </c>
      <c r="G40">
        <v>2</v>
      </c>
      <c r="H40">
        <v>5</v>
      </c>
      <c r="I40" t="s">
        <v>248</v>
      </c>
      <c r="J40" t="s">
        <v>248</v>
      </c>
      <c r="K40" t="s">
        <v>614</v>
      </c>
      <c r="L40" t="s">
        <v>613</v>
      </c>
      <c r="M40" t="s">
        <v>11</v>
      </c>
      <c r="N40" t="s">
        <v>198</v>
      </c>
      <c r="O40">
        <f t="shared" si="0"/>
        <v>1</v>
      </c>
      <c r="P40">
        <f t="shared" si="1"/>
        <v>0</v>
      </c>
      <c r="Q40">
        <f t="shared" si="2"/>
        <v>0</v>
      </c>
      <c r="R40">
        <f t="shared" si="3"/>
        <v>0</v>
      </c>
      <c r="S40">
        <f t="shared" si="4"/>
        <v>1</v>
      </c>
      <c r="T40">
        <f t="shared" si="5"/>
        <v>0</v>
      </c>
      <c r="U40">
        <f t="shared" si="6"/>
        <v>0</v>
      </c>
      <c r="V40">
        <f t="shared" si="7"/>
        <v>0</v>
      </c>
      <c r="W40">
        <f t="shared" si="8"/>
        <v>0</v>
      </c>
      <c r="X40">
        <f t="shared" si="9"/>
        <v>0</v>
      </c>
      <c r="Y40">
        <f t="shared" si="10"/>
        <v>0</v>
      </c>
      <c r="Z40">
        <f t="shared" si="11"/>
        <v>0</v>
      </c>
      <c r="AA40">
        <f t="shared" si="12"/>
        <v>0</v>
      </c>
      <c r="AB40">
        <f t="shared" si="13"/>
        <v>0</v>
      </c>
      <c r="AC40">
        <f t="shared" si="14"/>
        <v>0</v>
      </c>
      <c r="AD40">
        <f t="shared" si="15"/>
        <v>0</v>
      </c>
      <c r="AE40">
        <f t="shared" si="16"/>
        <v>0</v>
      </c>
      <c r="AF40">
        <f t="shared" si="17"/>
        <v>0</v>
      </c>
      <c r="AG40">
        <f t="shared" si="18"/>
        <v>0</v>
      </c>
      <c r="AH40">
        <f t="shared" si="19"/>
        <v>0</v>
      </c>
      <c r="AI40">
        <f t="shared" si="20"/>
        <v>0</v>
      </c>
      <c r="AJ40">
        <f t="shared" si="21"/>
        <v>0</v>
      </c>
      <c r="AK40">
        <f t="shared" si="22"/>
        <v>0</v>
      </c>
      <c r="AL40">
        <f t="shared" si="33"/>
        <v>0</v>
      </c>
      <c r="AM40">
        <f t="shared" si="34"/>
        <v>1</v>
      </c>
      <c r="AN40">
        <f t="shared" si="23"/>
        <v>0</v>
      </c>
      <c r="AO40">
        <f t="shared" si="24"/>
        <v>0</v>
      </c>
      <c r="AP40">
        <f t="shared" si="25"/>
        <v>0</v>
      </c>
      <c r="AQ40">
        <f t="shared" si="35"/>
        <v>0</v>
      </c>
      <c r="AR40">
        <f t="shared" si="36"/>
        <v>0</v>
      </c>
      <c r="AS40">
        <f t="shared" si="26"/>
        <v>0</v>
      </c>
      <c r="AT40">
        <f t="shared" si="27"/>
        <v>0</v>
      </c>
      <c r="AU40">
        <f t="shared" si="28"/>
        <v>0</v>
      </c>
      <c r="AV40">
        <f t="shared" si="29"/>
        <v>0</v>
      </c>
      <c r="AW40">
        <f t="shared" si="30"/>
        <v>0</v>
      </c>
      <c r="AX40">
        <f t="shared" si="31"/>
        <v>0</v>
      </c>
      <c r="AY40">
        <f t="shared" si="32"/>
        <v>0</v>
      </c>
      <c r="AZ40" t="s">
        <v>246</v>
      </c>
    </row>
    <row r="41" spans="1:52">
      <c r="A41">
        <v>40</v>
      </c>
      <c r="B41" s="14">
        <v>46178</v>
      </c>
      <c r="C41" t="s">
        <v>1</v>
      </c>
      <c r="D41" t="s">
        <v>4</v>
      </c>
      <c r="E41" t="s">
        <v>612</v>
      </c>
      <c r="F41" t="s">
        <v>3</v>
      </c>
      <c r="G41">
        <v>2</v>
      </c>
      <c r="H41">
        <v>4</v>
      </c>
      <c r="I41" t="s">
        <v>248</v>
      </c>
      <c r="J41" t="s">
        <v>248</v>
      </c>
      <c r="K41" t="s">
        <v>457</v>
      </c>
      <c r="L41" t="s">
        <v>191</v>
      </c>
      <c r="M41" t="s">
        <v>11</v>
      </c>
      <c r="N41" t="s">
        <v>198</v>
      </c>
      <c r="O41">
        <f t="shared" si="0"/>
        <v>1</v>
      </c>
      <c r="P41">
        <f t="shared" si="1"/>
        <v>0</v>
      </c>
      <c r="Q41">
        <f t="shared" si="2"/>
        <v>0</v>
      </c>
      <c r="R41">
        <f t="shared" si="3"/>
        <v>0</v>
      </c>
      <c r="S41">
        <f t="shared" si="4"/>
        <v>1</v>
      </c>
      <c r="T41">
        <f t="shared" si="5"/>
        <v>0</v>
      </c>
      <c r="U41">
        <f t="shared" si="6"/>
        <v>0</v>
      </c>
      <c r="V41">
        <f t="shared" si="7"/>
        <v>0</v>
      </c>
      <c r="W41">
        <f t="shared" si="8"/>
        <v>0</v>
      </c>
      <c r="X41">
        <f t="shared" si="9"/>
        <v>0</v>
      </c>
      <c r="Y41">
        <f t="shared" si="10"/>
        <v>0</v>
      </c>
      <c r="Z41">
        <f t="shared" si="11"/>
        <v>0</v>
      </c>
      <c r="AA41">
        <f t="shared" si="12"/>
        <v>0</v>
      </c>
      <c r="AB41">
        <f t="shared" si="13"/>
        <v>0</v>
      </c>
      <c r="AC41">
        <f t="shared" si="14"/>
        <v>0</v>
      </c>
      <c r="AD41">
        <f t="shared" si="15"/>
        <v>0</v>
      </c>
      <c r="AE41">
        <f t="shared" si="16"/>
        <v>0</v>
      </c>
      <c r="AF41">
        <f t="shared" si="17"/>
        <v>0</v>
      </c>
      <c r="AG41">
        <f t="shared" si="18"/>
        <v>0</v>
      </c>
      <c r="AH41">
        <f t="shared" si="19"/>
        <v>0</v>
      </c>
      <c r="AI41">
        <f t="shared" si="20"/>
        <v>0</v>
      </c>
      <c r="AJ41">
        <f t="shared" si="21"/>
        <v>0</v>
      </c>
      <c r="AK41">
        <f t="shared" si="22"/>
        <v>0</v>
      </c>
      <c r="AL41">
        <f t="shared" si="33"/>
        <v>0</v>
      </c>
      <c r="AM41">
        <f t="shared" si="34"/>
        <v>0</v>
      </c>
      <c r="AN41">
        <f t="shared" si="23"/>
        <v>0</v>
      </c>
      <c r="AO41">
        <f t="shared" si="24"/>
        <v>0</v>
      </c>
      <c r="AP41">
        <f t="shared" si="25"/>
        <v>0</v>
      </c>
      <c r="AQ41">
        <f t="shared" si="35"/>
        <v>0</v>
      </c>
      <c r="AR41">
        <f t="shared" si="36"/>
        <v>0</v>
      </c>
      <c r="AS41">
        <f t="shared" si="26"/>
        <v>0</v>
      </c>
      <c r="AT41">
        <f t="shared" si="27"/>
        <v>0</v>
      </c>
      <c r="AU41">
        <f t="shared" si="28"/>
        <v>0</v>
      </c>
      <c r="AV41">
        <f t="shared" si="29"/>
        <v>0</v>
      </c>
      <c r="AW41">
        <f t="shared" si="30"/>
        <v>0</v>
      </c>
      <c r="AX41">
        <f t="shared" si="31"/>
        <v>0</v>
      </c>
      <c r="AY41">
        <f t="shared" si="32"/>
        <v>0</v>
      </c>
      <c r="AZ41" t="s">
        <v>246</v>
      </c>
    </row>
    <row r="42" spans="1:52">
      <c r="A42">
        <v>41</v>
      </c>
      <c r="B42" s="14">
        <v>46178</v>
      </c>
      <c r="C42" t="s">
        <v>1</v>
      </c>
      <c r="D42" t="s">
        <v>4</v>
      </c>
      <c r="E42" t="s">
        <v>260</v>
      </c>
      <c r="F42" t="s">
        <v>3</v>
      </c>
      <c r="G42">
        <v>2</v>
      </c>
      <c r="H42" t="s">
        <v>248</v>
      </c>
      <c r="I42" t="s">
        <v>248</v>
      </c>
      <c r="J42" t="s">
        <v>248</v>
      </c>
      <c r="K42" t="s">
        <v>611</v>
      </c>
      <c r="L42" t="s">
        <v>191</v>
      </c>
      <c r="M42" t="s">
        <v>11</v>
      </c>
      <c r="N42" t="s">
        <v>206</v>
      </c>
      <c r="O42">
        <f t="shared" si="0"/>
        <v>1</v>
      </c>
      <c r="P42">
        <f t="shared" si="1"/>
        <v>1</v>
      </c>
      <c r="Q42">
        <f t="shared" si="2"/>
        <v>0</v>
      </c>
      <c r="R42">
        <f t="shared" si="3"/>
        <v>0</v>
      </c>
      <c r="S42">
        <f t="shared" si="4"/>
        <v>0</v>
      </c>
      <c r="T42">
        <f t="shared" si="5"/>
        <v>0</v>
      </c>
      <c r="U42">
        <f t="shared" si="6"/>
        <v>0</v>
      </c>
      <c r="V42">
        <f t="shared" si="7"/>
        <v>0</v>
      </c>
      <c r="W42">
        <f t="shared" si="8"/>
        <v>0</v>
      </c>
      <c r="X42">
        <f t="shared" si="9"/>
        <v>0</v>
      </c>
      <c r="Y42">
        <f t="shared" si="10"/>
        <v>0</v>
      </c>
      <c r="Z42">
        <f t="shared" si="11"/>
        <v>0</v>
      </c>
      <c r="AA42">
        <f t="shared" si="12"/>
        <v>0</v>
      </c>
      <c r="AB42">
        <f t="shared" si="13"/>
        <v>0</v>
      </c>
      <c r="AC42">
        <f t="shared" si="14"/>
        <v>0</v>
      </c>
      <c r="AD42">
        <f t="shared" si="15"/>
        <v>0</v>
      </c>
      <c r="AE42">
        <f t="shared" si="16"/>
        <v>0</v>
      </c>
      <c r="AF42">
        <f t="shared" si="17"/>
        <v>0</v>
      </c>
      <c r="AG42">
        <f t="shared" si="18"/>
        <v>0</v>
      </c>
      <c r="AH42">
        <f t="shared" si="19"/>
        <v>0</v>
      </c>
      <c r="AI42">
        <f t="shared" si="20"/>
        <v>0</v>
      </c>
      <c r="AJ42">
        <f t="shared" si="21"/>
        <v>0</v>
      </c>
      <c r="AK42">
        <f t="shared" si="22"/>
        <v>0</v>
      </c>
      <c r="AL42">
        <f t="shared" si="33"/>
        <v>0</v>
      </c>
      <c r="AM42">
        <f t="shared" si="34"/>
        <v>0</v>
      </c>
      <c r="AN42">
        <f t="shared" si="23"/>
        <v>0</v>
      </c>
      <c r="AO42">
        <f t="shared" si="24"/>
        <v>0</v>
      </c>
      <c r="AP42">
        <f t="shared" si="25"/>
        <v>0</v>
      </c>
      <c r="AQ42">
        <f t="shared" si="35"/>
        <v>0</v>
      </c>
      <c r="AR42">
        <f t="shared" si="36"/>
        <v>0</v>
      </c>
      <c r="AS42">
        <f t="shared" si="26"/>
        <v>0</v>
      </c>
      <c r="AT42">
        <f t="shared" si="27"/>
        <v>0</v>
      </c>
      <c r="AU42">
        <f t="shared" si="28"/>
        <v>0</v>
      </c>
      <c r="AV42">
        <f t="shared" si="29"/>
        <v>0</v>
      </c>
      <c r="AW42">
        <f t="shared" si="30"/>
        <v>0</v>
      </c>
      <c r="AX42">
        <f t="shared" si="31"/>
        <v>0</v>
      </c>
      <c r="AY42">
        <f t="shared" si="32"/>
        <v>0</v>
      </c>
      <c r="AZ42" t="s">
        <v>246</v>
      </c>
    </row>
    <row r="43" spans="1:52">
      <c r="A43">
        <v>42</v>
      </c>
      <c r="B43" s="14">
        <v>46178</v>
      </c>
      <c r="C43" t="s">
        <v>1</v>
      </c>
      <c r="D43" t="s">
        <v>4</v>
      </c>
      <c r="E43" t="s">
        <v>610</v>
      </c>
      <c r="F43" t="s">
        <v>13</v>
      </c>
      <c r="G43">
        <v>3</v>
      </c>
      <c r="H43" t="s">
        <v>248</v>
      </c>
      <c r="I43" t="s">
        <v>248</v>
      </c>
      <c r="J43" t="s">
        <v>248</v>
      </c>
      <c r="K43" t="s">
        <v>609</v>
      </c>
      <c r="L43" t="s">
        <v>191</v>
      </c>
      <c r="M43" t="s">
        <v>11</v>
      </c>
      <c r="N43" t="s">
        <v>206</v>
      </c>
      <c r="O43">
        <f t="shared" si="0"/>
        <v>0</v>
      </c>
      <c r="P43">
        <f t="shared" si="1"/>
        <v>0</v>
      </c>
      <c r="Q43">
        <f t="shared" si="2"/>
        <v>0</v>
      </c>
      <c r="R43">
        <f t="shared" si="3"/>
        <v>0</v>
      </c>
      <c r="S43">
        <f t="shared" si="4"/>
        <v>0</v>
      </c>
      <c r="T43">
        <f t="shared" si="5"/>
        <v>0</v>
      </c>
      <c r="U43">
        <f t="shared" si="6"/>
        <v>0</v>
      </c>
      <c r="V43">
        <f t="shared" si="7"/>
        <v>0</v>
      </c>
      <c r="W43">
        <f t="shared" si="8"/>
        <v>0</v>
      </c>
      <c r="X43">
        <f t="shared" si="9"/>
        <v>0</v>
      </c>
      <c r="Y43">
        <f t="shared" si="10"/>
        <v>0</v>
      </c>
      <c r="Z43">
        <f t="shared" si="11"/>
        <v>0</v>
      </c>
      <c r="AA43">
        <f t="shared" si="12"/>
        <v>0</v>
      </c>
      <c r="AB43">
        <f t="shared" si="13"/>
        <v>0</v>
      </c>
      <c r="AC43">
        <f t="shared" si="14"/>
        <v>0</v>
      </c>
      <c r="AD43">
        <f t="shared" si="15"/>
        <v>0</v>
      </c>
      <c r="AE43">
        <f t="shared" si="16"/>
        <v>0</v>
      </c>
      <c r="AF43">
        <f t="shared" si="17"/>
        <v>0</v>
      </c>
      <c r="AG43">
        <f t="shared" si="18"/>
        <v>0</v>
      </c>
      <c r="AH43">
        <f t="shared" si="19"/>
        <v>0</v>
      </c>
      <c r="AI43">
        <f t="shared" si="20"/>
        <v>0</v>
      </c>
      <c r="AJ43">
        <f t="shared" si="21"/>
        <v>0</v>
      </c>
      <c r="AK43">
        <f t="shared" si="22"/>
        <v>0</v>
      </c>
      <c r="AL43">
        <f t="shared" si="33"/>
        <v>0</v>
      </c>
      <c r="AM43">
        <f t="shared" si="34"/>
        <v>0</v>
      </c>
      <c r="AN43">
        <f t="shared" si="23"/>
        <v>0</v>
      </c>
      <c r="AO43">
        <f t="shared" si="24"/>
        <v>0</v>
      </c>
      <c r="AP43">
        <f t="shared" si="25"/>
        <v>0</v>
      </c>
      <c r="AQ43">
        <f t="shared" si="35"/>
        <v>0</v>
      </c>
      <c r="AR43">
        <f t="shared" si="36"/>
        <v>0</v>
      </c>
      <c r="AS43">
        <f t="shared" si="26"/>
        <v>0</v>
      </c>
      <c r="AT43">
        <f t="shared" si="27"/>
        <v>0</v>
      </c>
      <c r="AU43">
        <f t="shared" si="28"/>
        <v>0</v>
      </c>
      <c r="AV43">
        <f t="shared" si="29"/>
        <v>0</v>
      </c>
      <c r="AW43">
        <f t="shared" si="30"/>
        <v>0</v>
      </c>
      <c r="AX43">
        <f t="shared" si="31"/>
        <v>0</v>
      </c>
      <c r="AY43">
        <f t="shared" si="32"/>
        <v>0</v>
      </c>
      <c r="AZ43" t="s">
        <v>246</v>
      </c>
    </row>
    <row r="44" spans="1:52">
      <c r="A44">
        <v>43</v>
      </c>
      <c r="B44" s="14">
        <v>46178</v>
      </c>
      <c r="C44" t="s">
        <v>1</v>
      </c>
      <c r="D44" t="s">
        <v>4</v>
      </c>
      <c r="E44" t="s">
        <v>608</v>
      </c>
      <c r="F44" t="s">
        <v>3</v>
      </c>
      <c r="G44" t="s">
        <v>248</v>
      </c>
      <c r="H44" t="s">
        <v>248</v>
      </c>
      <c r="I44" t="s">
        <v>248</v>
      </c>
      <c r="J44" t="s">
        <v>248</v>
      </c>
      <c r="K44" t="s">
        <v>607</v>
      </c>
      <c r="L44" t="s">
        <v>191</v>
      </c>
      <c r="M44" t="s">
        <v>11</v>
      </c>
      <c r="N44" t="s">
        <v>198</v>
      </c>
      <c r="O44">
        <f t="shared" si="0"/>
        <v>1</v>
      </c>
      <c r="P44">
        <f t="shared" si="1"/>
        <v>0</v>
      </c>
      <c r="Q44">
        <f t="shared" si="2"/>
        <v>0</v>
      </c>
      <c r="R44">
        <f t="shared" si="3"/>
        <v>0</v>
      </c>
      <c r="S44">
        <f t="shared" si="4"/>
        <v>1</v>
      </c>
      <c r="T44">
        <f t="shared" si="5"/>
        <v>0</v>
      </c>
      <c r="U44">
        <f t="shared" si="6"/>
        <v>0</v>
      </c>
      <c r="V44">
        <f t="shared" si="7"/>
        <v>0</v>
      </c>
      <c r="W44">
        <f t="shared" si="8"/>
        <v>0</v>
      </c>
      <c r="X44">
        <f t="shared" si="9"/>
        <v>0</v>
      </c>
      <c r="Y44">
        <f t="shared" si="10"/>
        <v>0</v>
      </c>
      <c r="Z44">
        <f t="shared" si="11"/>
        <v>0</v>
      </c>
      <c r="AA44">
        <f t="shared" si="12"/>
        <v>0</v>
      </c>
      <c r="AB44">
        <f t="shared" si="13"/>
        <v>0</v>
      </c>
      <c r="AC44">
        <f t="shared" si="14"/>
        <v>0</v>
      </c>
      <c r="AD44">
        <f t="shared" si="15"/>
        <v>0</v>
      </c>
      <c r="AE44">
        <f t="shared" si="16"/>
        <v>0</v>
      </c>
      <c r="AF44">
        <f t="shared" si="17"/>
        <v>0</v>
      </c>
      <c r="AG44">
        <f t="shared" si="18"/>
        <v>0</v>
      </c>
      <c r="AH44">
        <f t="shared" si="19"/>
        <v>0</v>
      </c>
      <c r="AI44">
        <f t="shared" si="20"/>
        <v>0</v>
      </c>
      <c r="AJ44">
        <f t="shared" si="21"/>
        <v>0</v>
      </c>
      <c r="AK44">
        <f t="shared" si="22"/>
        <v>1</v>
      </c>
      <c r="AL44">
        <f t="shared" si="33"/>
        <v>0</v>
      </c>
      <c r="AM44">
        <f t="shared" si="34"/>
        <v>0</v>
      </c>
      <c r="AN44">
        <f t="shared" si="23"/>
        <v>0</v>
      </c>
      <c r="AO44">
        <f t="shared" si="24"/>
        <v>0</v>
      </c>
      <c r="AP44">
        <f t="shared" si="25"/>
        <v>0</v>
      </c>
      <c r="AQ44">
        <f t="shared" si="35"/>
        <v>0</v>
      </c>
      <c r="AR44">
        <f t="shared" si="36"/>
        <v>0</v>
      </c>
      <c r="AS44">
        <f t="shared" si="26"/>
        <v>0</v>
      </c>
      <c r="AT44">
        <f t="shared" si="27"/>
        <v>0</v>
      </c>
      <c r="AU44">
        <f t="shared" si="28"/>
        <v>0</v>
      </c>
      <c r="AV44">
        <f t="shared" si="29"/>
        <v>0</v>
      </c>
      <c r="AW44">
        <f t="shared" si="30"/>
        <v>0</v>
      </c>
      <c r="AX44">
        <f t="shared" si="31"/>
        <v>0</v>
      </c>
      <c r="AY44">
        <f t="shared" si="32"/>
        <v>0</v>
      </c>
      <c r="AZ44" t="s">
        <v>246</v>
      </c>
    </row>
    <row r="45" spans="1:52">
      <c r="A45">
        <v>44</v>
      </c>
      <c r="B45" s="14">
        <v>46178</v>
      </c>
      <c r="C45" t="s">
        <v>1</v>
      </c>
      <c r="D45" t="s">
        <v>4</v>
      </c>
      <c r="E45" t="s">
        <v>606</v>
      </c>
      <c r="F45" t="s">
        <v>3</v>
      </c>
      <c r="G45">
        <v>3</v>
      </c>
      <c r="H45">
        <v>4</v>
      </c>
      <c r="I45" t="s">
        <v>248</v>
      </c>
      <c r="J45" t="s">
        <v>248</v>
      </c>
      <c r="K45" t="s">
        <v>605</v>
      </c>
      <c r="L45" t="s">
        <v>191</v>
      </c>
      <c r="M45" t="s">
        <v>11</v>
      </c>
      <c r="N45" t="s">
        <v>190</v>
      </c>
      <c r="O45">
        <f t="shared" si="0"/>
        <v>0</v>
      </c>
      <c r="P45">
        <f t="shared" si="1"/>
        <v>0</v>
      </c>
      <c r="Q45">
        <f t="shared" si="2"/>
        <v>0</v>
      </c>
      <c r="R45">
        <f t="shared" si="3"/>
        <v>0</v>
      </c>
      <c r="S45">
        <f t="shared" si="4"/>
        <v>0</v>
      </c>
      <c r="T45">
        <f t="shared" si="5"/>
        <v>0</v>
      </c>
      <c r="U45">
        <f t="shared" si="6"/>
        <v>0</v>
      </c>
      <c r="V45">
        <f t="shared" si="7"/>
        <v>0</v>
      </c>
      <c r="W45">
        <f t="shared" si="8"/>
        <v>0</v>
      </c>
      <c r="X45">
        <f t="shared" si="9"/>
        <v>0</v>
      </c>
      <c r="Y45">
        <f t="shared" si="10"/>
        <v>0</v>
      </c>
      <c r="Z45">
        <f t="shared" si="11"/>
        <v>0</v>
      </c>
      <c r="AA45">
        <f t="shared" si="12"/>
        <v>0</v>
      </c>
      <c r="AB45">
        <f t="shared" si="13"/>
        <v>0</v>
      </c>
      <c r="AC45">
        <f t="shared" si="14"/>
        <v>0</v>
      </c>
      <c r="AD45">
        <f t="shared" si="15"/>
        <v>0</v>
      </c>
      <c r="AE45">
        <f t="shared" si="16"/>
        <v>0</v>
      </c>
      <c r="AF45">
        <f t="shared" si="17"/>
        <v>0</v>
      </c>
      <c r="AG45">
        <f t="shared" si="18"/>
        <v>0</v>
      </c>
      <c r="AH45">
        <f t="shared" si="19"/>
        <v>0</v>
      </c>
      <c r="AI45">
        <f t="shared" si="20"/>
        <v>0</v>
      </c>
      <c r="AJ45">
        <f t="shared" si="21"/>
        <v>1</v>
      </c>
      <c r="AK45">
        <f t="shared" si="22"/>
        <v>0</v>
      </c>
      <c r="AL45">
        <f t="shared" si="33"/>
        <v>0</v>
      </c>
      <c r="AM45">
        <f t="shared" si="34"/>
        <v>0</v>
      </c>
      <c r="AN45">
        <f t="shared" si="23"/>
        <v>0</v>
      </c>
      <c r="AO45">
        <f t="shared" si="24"/>
        <v>0</v>
      </c>
      <c r="AP45">
        <f t="shared" si="25"/>
        <v>0</v>
      </c>
      <c r="AQ45">
        <f t="shared" si="35"/>
        <v>0</v>
      </c>
      <c r="AR45">
        <f t="shared" si="36"/>
        <v>0</v>
      </c>
      <c r="AS45">
        <f t="shared" si="26"/>
        <v>0</v>
      </c>
      <c r="AT45">
        <f t="shared" si="27"/>
        <v>0</v>
      </c>
      <c r="AU45">
        <f t="shared" si="28"/>
        <v>0</v>
      </c>
      <c r="AV45">
        <f t="shared" si="29"/>
        <v>0</v>
      </c>
      <c r="AW45">
        <f t="shared" si="30"/>
        <v>0</v>
      </c>
      <c r="AX45">
        <f t="shared" si="31"/>
        <v>0</v>
      </c>
      <c r="AY45">
        <f t="shared" si="32"/>
        <v>0</v>
      </c>
      <c r="AZ45" t="s">
        <v>246</v>
      </c>
    </row>
    <row r="46" spans="1:52">
      <c r="A46">
        <v>45</v>
      </c>
      <c r="B46" s="14">
        <v>46178</v>
      </c>
      <c r="C46" t="s">
        <v>1</v>
      </c>
      <c r="D46" t="s">
        <v>4</v>
      </c>
      <c r="E46" t="s">
        <v>604</v>
      </c>
      <c r="F46" t="s">
        <v>3</v>
      </c>
      <c r="G46">
        <v>1</v>
      </c>
      <c r="H46">
        <v>3</v>
      </c>
      <c r="I46" t="s">
        <v>248</v>
      </c>
      <c r="J46" t="s">
        <v>248</v>
      </c>
      <c r="K46" t="s">
        <v>603</v>
      </c>
      <c r="L46" t="s">
        <v>191</v>
      </c>
      <c r="M46" t="s">
        <v>11</v>
      </c>
      <c r="N46" t="s">
        <v>190</v>
      </c>
      <c r="O46">
        <f t="shared" si="0"/>
        <v>0</v>
      </c>
      <c r="P46">
        <f t="shared" si="1"/>
        <v>0</v>
      </c>
      <c r="Q46">
        <f t="shared" si="2"/>
        <v>0</v>
      </c>
      <c r="R46">
        <f t="shared" si="3"/>
        <v>0</v>
      </c>
      <c r="S46">
        <f t="shared" si="4"/>
        <v>1</v>
      </c>
      <c r="T46">
        <f t="shared" si="5"/>
        <v>0</v>
      </c>
      <c r="U46">
        <f t="shared" si="6"/>
        <v>0</v>
      </c>
      <c r="V46">
        <f t="shared" si="7"/>
        <v>0</v>
      </c>
      <c r="W46">
        <f t="shared" si="8"/>
        <v>0</v>
      </c>
      <c r="X46">
        <f t="shared" si="9"/>
        <v>0</v>
      </c>
      <c r="Y46">
        <f t="shared" si="10"/>
        <v>0</v>
      </c>
      <c r="Z46">
        <f t="shared" si="11"/>
        <v>0</v>
      </c>
      <c r="AA46">
        <f t="shared" si="12"/>
        <v>0</v>
      </c>
      <c r="AB46">
        <f t="shared" si="13"/>
        <v>0</v>
      </c>
      <c r="AC46">
        <f t="shared" si="14"/>
        <v>0</v>
      </c>
      <c r="AD46">
        <f t="shared" si="15"/>
        <v>0</v>
      </c>
      <c r="AE46">
        <f t="shared" si="16"/>
        <v>0</v>
      </c>
      <c r="AF46">
        <f t="shared" si="17"/>
        <v>0</v>
      </c>
      <c r="AG46">
        <f t="shared" si="18"/>
        <v>0</v>
      </c>
      <c r="AH46">
        <f t="shared" si="19"/>
        <v>0</v>
      </c>
      <c r="AI46">
        <f t="shared" si="20"/>
        <v>0</v>
      </c>
      <c r="AJ46">
        <f t="shared" si="21"/>
        <v>0</v>
      </c>
      <c r="AK46">
        <f t="shared" si="22"/>
        <v>0</v>
      </c>
      <c r="AL46">
        <f t="shared" si="33"/>
        <v>0</v>
      </c>
      <c r="AM46">
        <f t="shared" si="34"/>
        <v>0</v>
      </c>
      <c r="AN46">
        <f t="shared" si="23"/>
        <v>0</v>
      </c>
      <c r="AO46">
        <f t="shared" si="24"/>
        <v>0</v>
      </c>
      <c r="AP46">
        <f t="shared" si="25"/>
        <v>0</v>
      </c>
      <c r="AQ46">
        <f t="shared" si="35"/>
        <v>0</v>
      </c>
      <c r="AR46">
        <f t="shared" si="36"/>
        <v>0</v>
      </c>
      <c r="AS46">
        <f t="shared" si="26"/>
        <v>0</v>
      </c>
      <c r="AT46">
        <f t="shared" si="27"/>
        <v>0</v>
      </c>
      <c r="AU46">
        <f t="shared" si="28"/>
        <v>0</v>
      </c>
      <c r="AV46">
        <f t="shared" si="29"/>
        <v>0</v>
      </c>
      <c r="AW46">
        <f t="shared" si="30"/>
        <v>0</v>
      </c>
      <c r="AX46">
        <f t="shared" si="31"/>
        <v>0</v>
      </c>
      <c r="AY46">
        <f t="shared" si="32"/>
        <v>0</v>
      </c>
      <c r="AZ46" t="s">
        <v>246</v>
      </c>
    </row>
    <row r="47" spans="1:52">
      <c r="A47">
        <v>46</v>
      </c>
      <c r="B47" s="14">
        <v>46178</v>
      </c>
      <c r="C47" t="s">
        <v>1</v>
      </c>
      <c r="D47" t="s">
        <v>4</v>
      </c>
      <c r="E47" t="s">
        <v>602</v>
      </c>
      <c r="F47" t="s">
        <v>3</v>
      </c>
      <c r="G47" t="s">
        <v>248</v>
      </c>
      <c r="H47" t="s">
        <v>248</v>
      </c>
      <c r="I47" t="s">
        <v>248</v>
      </c>
      <c r="J47" t="s">
        <v>248</v>
      </c>
      <c r="K47" t="s">
        <v>601</v>
      </c>
      <c r="L47" t="s">
        <v>191</v>
      </c>
      <c r="M47" t="s">
        <v>11</v>
      </c>
      <c r="N47" t="s">
        <v>198</v>
      </c>
      <c r="O47">
        <f t="shared" si="0"/>
        <v>1</v>
      </c>
      <c r="P47">
        <f t="shared" si="1"/>
        <v>0</v>
      </c>
      <c r="Q47">
        <f t="shared" si="2"/>
        <v>0</v>
      </c>
      <c r="R47">
        <f t="shared" si="3"/>
        <v>0</v>
      </c>
      <c r="S47">
        <f t="shared" si="4"/>
        <v>0</v>
      </c>
      <c r="T47">
        <f t="shared" si="5"/>
        <v>0</v>
      </c>
      <c r="U47">
        <f t="shared" si="6"/>
        <v>0</v>
      </c>
      <c r="V47">
        <f t="shared" si="7"/>
        <v>0</v>
      </c>
      <c r="W47">
        <f t="shared" si="8"/>
        <v>0</v>
      </c>
      <c r="X47">
        <f t="shared" si="9"/>
        <v>0</v>
      </c>
      <c r="Y47">
        <f t="shared" si="10"/>
        <v>0</v>
      </c>
      <c r="Z47">
        <f t="shared" si="11"/>
        <v>0</v>
      </c>
      <c r="AA47">
        <f t="shared" si="12"/>
        <v>0</v>
      </c>
      <c r="AB47">
        <f t="shared" si="13"/>
        <v>0</v>
      </c>
      <c r="AC47">
        <f t="shared" si="14"/>
        <v>0</v>
      </c>
      <c r="AD47">
        <f t="shared" si="15"/>
        <v>0</v>
      </c>
      <c r="AE47">
        <f t="shared" si="16"/>
        <v>0</v>
      </c>
      <c r="AF47">
        <f t="shared" si="17"/>
        <v>0</v>
      </c>
      <c r="AG47">
        <f t="shared" si="18"/>
        <v>0</v>
      </c>
      <c r="AH47">
        <f t="shared" si="19"/>
        <v>0</v>
      </c>
      <c r="AI47">
        <f t="shared" si="20"/>
        <v>1</v>
      </c>
      <c r="AJ47">
        <f t="shared" si="21"/>
        <v>0</v>
      </c>
      <c r="AK47">
        <f t="shared" si="22"/>
        <v>0</v>
      </c>
      <c r="AL47">
        <f t="shared" si="33"/>
        <v>0</v>
      </c>
      <c r="AM47">
        <f t="shared" si="34"/>
        <v>0</v>
      </c>
      <c r="AN47">
        <f t="shared" si="23"/>
        <v>0</v>
      </c>
      <c r="AO47">
        <f t="shared" si="24"/>
        <v>0</v>
      </c>
      <c r="AP47">
        <f t="shared" si="25"/>
        <v>0</v>
      </c>
      <c r="AQ47">
        <f t="shared" si="35"/>
        <v>0</v>
      </c>
      <c r="AR47">
        <f t="shared" si="36"/>
        <v>0</v>
      </c>
      <c r="AS47">
        <f t="shared" si="26"/>
        <v>0</v>
      </c>
      <c r="AT47">
        <f t="shared" si="27"/>
        <v>0</v>
      </c>
      <c r="AU47">
        <f t="shared" si="28"/>
        <v>0</v>
      </c>
      <c r="AV47">
        <f t="shared" si="29"/>
        <v>0</v>
      </c>
      <c r="AW47">
        <f t="shared" si="30"/>
        <v>0</v>
      </c>
      <c r="AX47">
        <f t="shared" si="31"/>
        <v>0</v>
      </c>
      <c r="AY47">
        <f t="shared" si="32"/>
        <v>0</v>
      </c>
      <c r="AZ47" t="s">
        <v>246</v>
      </c>
    </row>
    <row r="48" spans="1:52">
      <c r="A48">
        <v>47</v>
      </c>
      <c r="B48" s="14">
        <v>46178</v>
      </c>
      <c r="C48" t="s">
        <v>1</v>
      </c>
      <c r="D48" t="s">
        <v>4</v>
      </c>
      <c r="E48" t="s">
        <v>600</v>
      </c>
      <c r="F48" t="s">
        <v>5</v>
      </c>
      <c r="G48">
        <v>1</v>
      </c>
      <c r="H48">
        <v>5</v>
      </c>
      <c r="I48" t="s">
        <v>248</v>
      </c>
      <c r="J48" t="s">
        <v>248</v>
      </c>
      <c r="K48" t="s">
        <v>599</v>
      </c>
      <c r="L48" t="s">
        <v>191</v>
      </c>
      <c r="M48" t="s">
        <v>11</v>
      </c>
      <c r="N48" t="s">
        <v>198</v>
      </c>
      <c r="O48">
        <f t="shared" si="0"/>
        <v>0</v>
      </c>
      <c r="P48">
        <f t="shared" si="1"/>
        <v>0</v>
      </c>
      <c r="Q48">
        <f t="shared" si="2"/>
        <v>0</v>
      </c>
      <c r="R48">
        <f t="shared" si="3"/>
        <v>0</v>
      </c>
      <c r="S48">
        <f t="shared" si="4"/>
        <v>0</v>
      </c>
      <c r="T48">
        <f t="shared" si="5"/>
        <v>0</v>
      </c>
      <c r="U48">
        <f t="shared" si="6"/>
        <v>0</v>
      </c>
      <c r="V48">
        <f t="shared" si="7"/>
        <v>0</v>
      </c>
      <c r="W48">
        <f t="shared" si="8"/>
        <v>0</v>
      </c>
      <c r="X48">
        <f t="shared" si="9"/>
        <v>0</v>
      </c>
      <c r="Y48">
        <f t="shared" si="10"/>
        <v>0</v>
      </c>
      <c r="Z48">
        <f t="shared" si="11"/>
        <v>0</v>
      </c>
      <c r="AA48">
        <f t="shared" si="12"/>
        <v>0</v>
      </c>
      <c r="AB48">
        <f t="shared" si="13"/>
        <v>0</v>
      </c>
      <c r="AC48">
        <f t="shared" si="14"/>
        <v>0</v>
      </c>
      <c r="AD48">
        <f t="shared" si="15"/>
        <v>0</v>
      </c>
      <c r="AE48">
        <f t="shared" si="16"/>
        <v>0</v>
      </c>
      <c r="AF48">
        <f t="shared" si="17"/>
        <v>0</v>
      </c>
      <c r="AG48">
        <f t="shared" si="18"/>
        <v>0</v>
      </c>
      <c r="AH48">
        <f t="shared" si="19"/>
        <v>0</v>
      </c>
      <c r="AI48">
        <f t="shared" si="20"/>
        <v>0</v>
      </c>
      <c r="AJ48">
        <f t="shared" si="21"/>
        <v>0</v>
      </c>
      <c r="AK48">
        <f t="shared" si="22"/>
        <v>0</v>
      </c>
      <c r="AL48">
        <f t="shared" si="33"/>
        <v>0</v>
      </c>
      <c r="AM48">
        <f t="shared" si="34"/>
        <v>0</v>
      </c>
      <c r="AN48">
        <f t="shared" si="23"/>
        <v>0</v>
      </c>
      <c r="AO48">
        <f t="shared" si="24"/>
        <v>0</v>
      </c>
      <c r="AP48">
        <f t="shared" si="25"/>
        <v>0</v>
      </c>
      <c r="AQ48">
        <f t="shared" si="35"/>
        <v>0</v>
      </c>
      <c r="AR48">
        <f t="shared" si="36"/>
        <v>0</v>
      </c>
      <c r="AS48">
        <f t="shared" si="26"/>
        <v>0</v>
      </c>
      <c r="AT48">
        <f t="shared" si="27"/>
        <v>0</v>
      </c>
      <c r="AU48">
        <f t="shared" si="28"/>
        <v>0</v>
      </c>
      <c r="AV48">
        <f t="shared" si="29"/>
        <v>0</v>
      </c>
      <c r="AW48">
        <f t="shared" si="30"/>
        <v>0</v>
      </c>
      <c r="AX48">
        <f t="shared" si="31"/>
        <v>0</v>
      </c>
      <c r="AY48">
        <f t="shared" si="32"/>
        <v>0</v>
      </c>
      <c r="AZ48" t="s">
        <v>246</v>
      </c>
    </row>
    <row r="49" spans="1:52">
      <c r="A49">
        <v>48</v>
      </c>
      <c r="B49" s="14">
        <v>46178</v>
      </c>
      <c r="C49" t="s">
        <v>1</v>
      </c>
      <c r="D49" t="s">
        <v>4</v>
      </c>
      <c r="E49" t="s">
        <v>598</v>
      </c>
      <c r="F49" t="s">
        <v>16</v>
      </c>
      <c r="G49">
        <v>3</v>
      </c>
      <c r="H49">
        <v>5</v>
      </c>
      <c r="I49" t="s">
        <v>248</v>
      </c>
      <c r="J49" t="s">
        <v>248</v>
      </c>
      <c r="K49" t="s">
        <v>597</v>
      </c>
      <c r="L49" t="s">
        <v>191</v>
      </c>
      <c r="M49" t="s">
        <v>10</v>
      </c>
      <c r="N49" t="s">
        <v>198</v>
      </c>
      <c r="O49">
        <f t="shared" si="0"/>
        <v>1</v>
      </c>
      <c r="P49">
        <f t="shared" si="1"/>
        <v>0</v>
      </c>
      <c r="Q49">
        <f t="shared" si="2"/>
        <v>0</v>
      </c>
      <c r="R49">
        <f t="shared" si="3"/>
        <v>0</v>
      </c>
      <c r="S49">
        <f t="shared" si="4"/>
        <v>1</v>
      </c>
      <c r="T49">
        <f t="shared" si="5"/>
        <v>0</v>
      </c>
      <c r="U49">
        <f t="shared" si="6"/>
        <v>0</v>
      </c>
      <c r="V49">
        <f t="shared" si="7"/>
        <v>0</v>
      </c>
      <c r="W49">
        <f t="shared" si="8"/>
        <v>0</v>
      </c>
      <c r="X49">
        <f t="shared" si="9"/>
        <v>0</v>
      </c>
      <c r="Y49">
        <f t="shared" si="10"/>
        <v>0</v>
      </c>
      <c r="Z49">
        <f t="shared" si="11"/>
        <v>0</v>
      </c>
      <c r="AA49">
        <f t="shared" si="12"/>
        <v>0</v>
      </c>
      <c r="AB49">
        <f t="shared" si="13"/>
        <v>0</v>
      </c>
      <c r="AC49">
        <f t="shared" si="14"/>
        <v>0</v>
      </c>
      <c r="AD49">
        <f t="shared" si="15"/>
        <v>0</v>
      </c>
      <c r="AE49">
        <f t="shared" si="16"/>
        <v>0</v>
      </c>
      <c r="AF49">
        <f t="shared" si="17"/>
        <v>0</v>
      </c>
      <c r="AG49">
        <f t="shared" si="18"/>
        <v>0</v>
      </c>
      <c r="AH49">
        <f t="shared" si="19"/>
        <v>0</v>
      </c>
      <c r="AI49">
        <f t="shared" si="20"/>
        <v>0</v>
      </c>
      <c r="AJ49">
        <f t="shared" si="21"/>
        <v>0</v>
      </c>
      <c r="AK49">
        <f t="shared" si="22"/>
        <v>0</v>
      </c>
      <c r="AL49">
        <f t="shared" si="33"/>
        <v>0</v>
      </c>
      <c r="AM49">
        <f t="shared" si="34"/>
        <v>0</v>
      </c>
      <c r="AN49">
        <f t="shared" si="23"/>
        <v>0</v>
      </c>
      <c r="AO49">
        <f t="shared" si="24"/>
        <v>0</v>
      </c>
      <c r="AP49">
        <f t="shared" si="25"/>
        <v>0</v>
      </c>
      <c r="AQ49">
        <f t="shared" si="35"/>
        <v>0</v>
      </c>
      <c r="AR49">
        <f t="shared" si="36"/>
        <v>0</v>
      </c>
      <c r="AS49">
        <f t="shared" si="26"/>
        <v>0</v>
      </c>
      <c r="AT49">
        <f t="shared" si="27"/>
        <v>0</v>
      </c>
      <c r="AU49">
        <f t="shared" si="28"/>
        <v>0</v>
      </c>
      <c r="AV49">
        <f t="shared" si="29"/>
        <v>0</v>
      </c>
      <c r="AW49">
        <f t="shared" si="30"/>
        <v>0</v>
      </c>
      <c r="AX49">
        <f t="shared" si="31"/>
        <v>0</v>
      </c>
      <c r="AY49">
        <f t="shared" si="32"/>
        <v>0</v>
      </c>
      <c r="AZ49" t="s">
        <v>246</v>
      </c>
    </row>
    <row r="50" spans="1:52">
      <c r="A50">
        <v>49</v>
      </c>
      <c r="B50" s="14">
        <v>46178</v>
      </c>
      <c r="C50" t="s">
        <v>1</v>
      </c>
      <c r="D50" t="s">
        <v>4</v>
      </c>
      <c r="E50" t="s">
        <v>596</v>
      </c>
      <c r="F50" t="s">
        <v>3</v>
      </c>
      <c r="G50">
        <v>2</v>
      </c>
      <c r="H50">
        <v>5</v>
      </c>
      <c r="I50" t="s">
        <v>248</v>
      </c>
      <c r="J50" t="s">
        <v>248</v>
      </c>
      <c r="K50" t="s">
        <v>506</v>
      </c>
      <c r="L50" t="s">
        <v>595</v>
      </c>
      <c r="M50" t="s">
        <v>11</v>
      </c>
      <c r="N50" t="s">
        <v>190</v>
      </c>
      <c r="O50">
        <f t="shared" si="0"/>
        <v>0</v>
      </c>
      <c r="P50">
        <f t="shared" si="1"/>
        <v>0</v>
      </c>
      <c r="Q50">
        <f t="shared" si="2"/>
        <v>1</v>
      </c>
      <c r="R50">
        <f t="shared" si="3"/>
        <v>1</v>
      </c>
      <c r="S50">
        <f t="shared" si="4"/>
        <v>1</v>
      </c>
      <c r="T50">
        <f t="shared" si="5"/>
        <v>0</v>
      </c>
      <c r="U50">
        <f t="shared" si="6"/>
        <v>0</v>
      </c>
      <c r="V50">
        <f t="shared" si="7"/>
        <v>0</v>
      </c>
      <c r="W50">
        <f t="shared" si="8"/>
        <v>0</v>
      </c>
      <c r="X50">
        <f t="shared" si="9"/>
        <v>0</v>
      </c>
      <c r="Y50">
        <f t="shared" si="10"/>
        <v>0</v>
      </c>
      <c r="Z50">
        <f t="shared" si="11"/>
        <v>0</v>
      </c>
      <c r="AA50">
        <f t="shared" si="12"/>
        <v>0</v>
      </c>
      <c r="AB50">
        <f t="shared" si="13"/>
        <v>0</v>
      </c>
      <c r="AC50">
        <f t="shared" si="14"/>
        <v>0</v>
      </c>
      <c r="AD50">
        <f t="shared" si="15"/>
        <v>0</v>
      </c>
      <c r="AE50">
        <f t="shared" si="16"/>
        <v>0</v>
      </c>
      <c r="AF50">
        <f t="shared" si="17"/>
        <v>0</v>
      </c>
      <c r="AG50">
        <f t="shared" si="18"/>
        <v>0</v>
      </c>
      <c r="AH50">
        <f t="shared" si="19"/>
        <v>0</v>
      </c>
      <c r="AI50">
        <f t="shared" si="20"/>
        <v>0</v>
      </c>
      <c r="AJ50">
        <f t="shared" si="21"/>
        <v>0</v>
      </c>
      <c r="AK50">
        <f t="shared" si="22"/>
        <v>0</v>
      </c>
      <c r="AL50">
        <f t="shared" si="33"/>
        <v>0</v>
      </c>
      <c r="AM50">
        <f t="shared" si="34"/>
        <v>0</v>
      </c>
      <c r="AN50">
        <f t="shared" si="23"/>
        <v>0</v>
      </c>
      <c r="AO50">
        <f t="shared" si="24"/>
        <v>0</v>
      </c>
      <c r="AP50">
        <f t="shared" si="25"/>
        <v>0</v>
      </c>
      <c r="AQ50">
        <f t="shared" si="35"/>
        <v>0</v>
      </c>
      <c r="AR50">
        <f t="shared" si="36"/>
        <v>0</v>
      </c>
      <c r="AS50">
        <f t="shared" si="26"/>
        <v>0</v>
      </c>
      <c r="AT50">
        <f t="shared" si="27"/>
        <v>0</v>
      </c>
      <c r="AU50">
        <f t="shared" si="28"/>
        <v>0</v>
      </c>
      <c r="AV50">
        <f t="shared" si="29"/>
        <v>0</v>
      </c>
      <c r="AW50">
        <f t="shared" si="30"/>
        <v>0</v>
      </c>
      <c r="AX50">
        <f t="shared" si="31"/>
        <v>0</v>
      </c>
      <c r="AY50">
        <f t="shared" si="32"/>
        <v>0</v>
      </c>
      <c r="AZ50" t="s">
        <v>246</v>
      </c>
    </row>
    <row r="51" spans="1:52">
      <c r="A51">
        <v>50</v>
      </c>
      <c r="B51" s="14">
        <v>46178</v>
      </c>
      <c r="C51" t="s">
        <v>1</v>
      </c>
      <c r="D51" t="s">
        <v>4</v>
      </c>
      <c r="E51" t="s">
        <v>594</v>
      </c>
      <c r="F51" t="s">
        <v>3</v>
      </c>
      <c r="G51">
        <v>1</v>
      </c>
      <c r="H51">
        <v>5</v>
      </c>
      <c r="I51" t="s">
        <v>248</v>
      </c>
      <c r="J51" t="s">
        <v>248</v>
      </c>
      <c r="K51" t="s">
        <v>593</v>
      </c>
      <c r="L51" t="s">
        <v>592</v>
      </c>
      <c r="M51" t="s">
        <v>11</v>
      </c>
      <c r="N51" t="s">
        <v>206</v>
      </c>
      <c r="O51">
        <f t="shared" si="0"/>
        <v>1</v>
      </c>
      <c r="P51">
        <f t="shared" si="1"/>
        <v>1</v>
      </c>
      <c r="Q51">
        <f t="shared" si="2"/>
        <v>0</v>
      </c>
      <c r="R51">
        <f t="shared" si="3"/>
        <v>0</v>
      </c>
      <c r="S51">
        <f t="shared" si="4"/>
        <v>0</v>
      </c>
      <c r="T51">
        <f t="shared" si="5"/>
        <v>0</v>
      </c>
      <c r="U51">
        <f t="shared" si="6"/>
        <v>0</v>
      </c>
      <c r="V51">
        <f t="shared" si="7"/>
        <v>0</v>
      </c>
      <c r="W51">
        <f t="shared" si="8"/>
        <v>0</v>
      </c>
      <c r="X51">
        <f t="shared" si="9"/>
        <v>0</v>
      </c>
      <c r="Y51">
        <f t="shared" si="10"/>
        <v>0</v>
      </c>
      <c r="Z51">
        <f t="shared" si="11"/>
        <v>0</v>
      </c>
      <c r="AA51">
        <f t="shared" si="12"/>
        <v>0</v>
      </c>
      <c r="AB51">
        <f t="shared" si="13"/>
        <v>0</v>
      </c>
      <c r="AC51">
        <f t="shared" si="14"/>
        <v>1</v>
      </c>
      <c r="AD51">
        <f t="shared" si="15"/>
        <v>0</v>
      </c>
      <c r="AE51">
        <f t="shared" si="16"/>
        <v>0</v>
      </c>
      <c r="AF51">
        <f t="shared" si="17"/>
        <v>0</v>
      </c>
      <c r="AG51">
        <f t="shared" si="18"/>
        <v>0</v>
      </c>
      <c r="AH51">
        <f t="shared" si="19"/>
        <v>0</v>
      </c>
      <c r="AI51">
        <f t="shared" si="20"/>
        <v>0</v>
      </c>
      <c r="AJ51">
        <f t="shared" si="21"/>
        <v>0</v>
      </c>
      <c r="AK51">
        <f t="shared" si="22"/>
        <v>0</v>
      </c>
      <c r="AL51">
        <f t="shared" si="33"/>
        <v>0</v>
      </c>
      <c r="AM51">
        <f t="shared" si="34"/>
        <v>0</v>
      </c>
      <c r="AN51">
        <f t="shared" si="23"/>
        <v>0</v>
      </c>
      <c r="AO51">
        <f t="shared" si="24"/>
        <v>0</v>
      </c>
      <c r="AP51">
        <f t="shared" si="25"/>
        <v>0</v>
      </c>
      <c r="AQ51">
        <f t="shared" si="35"/>
        <v>0</v>
      </c>
      <c r="AR51">
        <f t="shared" si="36"/>
        <v>0</v>
      </c>
      <c r="AS51">
        <f t="shared" si="26"/>
        <v>0</v>
      </c>
      <c r="AT51">
        <f t="shared" si="27"/>
        <v>0</v>
      </c>
      <c r="AU51">
        <f t="shared" si="28"/>
        <v>0</v>
      </c>
      <c r="AV51">
        <f t="shared" si="29"/>
        <v>0</v>
      </c>
      <c r="AW51">
        <f t="shared" si="30"/>
        <v>0</v>
      </c>
      <c r="AX51">
        <f t="shared" si="31"/>
        <v>0</v>
      </c>
      <c r="AY51">
        <f t="shared" si="32"/>
        <v>0</v>
      </c>
      <c r="AZ51" t="s">
        <v>246</v>
      </c>
    </row>
    <row r="52" spans="1:52">
      <c r="A52">
        <v>51</v>
      </c>
      <c r="B52" s="14">
        <v>46178</v>
      </c>
      <c r="C52" t="s">
        <v>1</v>
      </c>
      <c r="D52" t="s">
        <v>2</v>
      </c>
      <c r="E52" t="s">
        <v>591</v>
      </c>
      <c r="F52" t="s">
        <v>3</v>
      </c>
      <c r="G52" t="s">
        <v>248</v>
      </c>
      <c r="H52" t="s">
        <v>248</v>
      </c>
      <c r="I52" t="s">
        <v>248</v>
      </c>
      <c r="J52" t="s">
        <v>248</v>
      </c>
      <c r="K52" t="s">
        <v>590</v>
      </c>
      <c r="L52" t="s">
        <v>191</v>
      </c>
      <c r="M52" t="s">
        <v>11</v>
      </c>
      <c r="N52" t="s">
        <v>206</v>
      </c>
      <c r="O52">
        <f t="shared" si="0"/>
        <v>1</v>
      </c>
      <c r="P52">
        <f t="shared" si="1"/>
        <v>0</v>
      </c>
      <c r="Q52">
        <f t="shared" si="2"/>
        <v>1</v>
      </c>
      <c r="R52">
        <f t="shared" si="3"/>
        <v>0</v>
      </c>
      <c r="S52">
        <f t="shared" si="4"/>
        <v>1</v>
      </c>
      <c r="T52">
        <f t="shared" si="5"/>
        <v>0</v>
      </c>
      <c r="U52">
        <f t="shared" si="6"/>
        <v>0</v>
      </c>
      <c r="V52">
        <f t="shared" si="7"/>
        <v>0</v>
      </c>
      <c r="W52">
        <f t="shared" si="8"/>
        <v>0</v>
      </c>
      <c r="X52">
        <f t="shared" si="9"/>
        <v>0</v>
      </c>
      <c r="Y52">
        <f t="shared" si="10"/>
        <v>0</v>
      </c>
      <c r="Z52">
        <f t="shared" si="11"/>
        <v>0</v>
      </c>
      <c r="AA52">
        <f t="shared" si="12"/>
        <v>0</v>
      </c>
      <c r="AB52">
        <f t="shared" si="13"/>
        <v>0</v>
      </c>
      <c r="AC52">
        <f t="shared" si="14"/>
        <v>0</v>
      </c>
      <c r="AD52">
        <f t="shared" si="15"/>
        <v>0</v>
      </c>
      <c r="AE52">
        <f t="shared" si="16"/>
        <v>0</v>
      </c>
      <c r="AF52">
        <f t="shared" si="17"/>
        <v>0</v>
      </c>
      <c r="AG52">
        <f t="shared" si="18"/>
        <v>0</v>
      </c>
      <c r="AH52">
        <f t="shared" si="19"/>
        <v>0</v>
      </c>
      <c r="AI52">
        <f t="shared" si="20"/>
        <v>0</v>
      </c>
      <c r="AJ52">
        <f t="shared" si="21"/>
        <v>0</v>
      </c>
      <c r="AK52">
        <f t="shared" si="22"/>
        <v>0</v>
      </c>
      <c r="AL52">
        <f t="shared" si="33"/>
        <v>0</v>
      </c>
      <c r="AM52">
        <f t="shared" si="34"/>
        <v>0</v>
      </c>
      <c r="AN52">
        <f t="shared" si="23"/>
        <v>0</v>
      </c>
      <c r="AO52">
        <f t="shared" si="24"/>
        <v>0</v>
      </c>
      <c r="AP52">
        <f t="shared" si="25"/>
        <v>0</v>
      </c>
      <c r="AQ52">
        <f t="shared" si="35"/>
        <v>0</v>
      </c>
      <c r="AR52">
        <f t="shared" si="36"/>
        <v>0</v>
      </c>
      <c r="AS52">
        <f t="shared" si="26"/>
        <v>0</v>
      </c>
      <c r="AT52">
        <f t="shared" si="27"/>
        <v>0</v>
      </c>
      <c r="AU52">
        <f t="shared" si="28"/>
        <v>0</v>
      </c>
      <c r="AV52">
        <f t="shared" si="29"/>
        <v>0</v>
      </c>
      <c r="AW52">
        <f t="shared" si="30"/>
        <v>0</v>
      </c>
      <c r="AX52">
        <f t="shared" si="31"/>
        <v>0</v>
      </c>
      <c r="AY52">
        <f t="shared" si="32"/>
        <v>0</v>
      </c>
      <c r="AZ52" t="s">
        <v>246</v>
      </c>
    </row>
    <row r="53" spans="1:52">
      <c r="A53">
        <v>52</v>
      </c>
      <c r="B53" s="14">
        <v>46178</v>
      </c>
      <c r="C53" t="s">
        <v>1</v>
      </c>
      <c r="D53" t="s">
        <v>7</v>
      </c>
      <c r="E53" s="2" t="s">
        <v>589</v>
      </c>
      <c r="F53" t="s">
        <v>3</v>
      </c>
      <c r="G53">
        <v>1</v>
      </c>
      <c r="H53">
        <v>3</v>
      </c>
      <c r="I53" t="s">
        <v>248</v>
      </c>
      <c r="J53" t="s">
        <v>248</v>
      </c>
      <c r="K53" t="s">
        <v>588</v>
      </c>
      <c r="L53" t="s">
        <v>587</v>
      </c>
      <c r="M53" t="s">
        <v>11</v>
      </c>
      <c r="N53" t="s">
        <v>190</v>
      </c>
      <c r="O53">
        <f t="shared" si="0"/>
        <v>0</v>
      </c>
      <c r="P53">
        <f t="shared" si="1"/>
        <v>1</v>
      </c>
      <c r="Q53">
        <f t="shared" si="2"/>
        <v>0</v>
      </c>
      <c r="R53">
        <f t="shared" si="3"/>
        <v>0</v>
      </c>
      <c r="S53">
        <f t="shared" si="4"/>
        <v>1</v>
      </c>
      <c r="T53">
        <f t="shared" si="5"/>
        <v>0</v>
      </c>
      <c r="U53">
        <f t="shared" si="6"/>
        <v>0</v>
      </c>
      <c r="V53">
        <f t="shared" si="7"/>
        <v>0</v>
      </c>
      <c r="W53">
        <f t="shared" si="8"/>
        <v>0</v>
      </c>
      <c r="X53">
        <f t="shared" si="9"/>
        <v>0</v>
      </c>
      <c r="Y53">
        <f t="shared" si="10"/>
        <v>0</v>
      </c>
      <c r="Z53">
        <f t="shared" si="11"/>
        <v>0</v>
      </c>
      <c r="AA53">
        <f t="shared" si="12"/>
        <v>0</v>
      </c>
      <c r="AB53">
        <f t="shared" si="13"/>
        <v>0</v>
      </c>
      <c r="AC53">
        <f t="shared" si="14"/>
        <v>0</v>
      </c>
      <c r="AD53">
        <f t="shared" si="15"/>
        <v>0</v>
      </c>
      <c r="AE53">
        <f t="shared" si="16"/>
        <v>0</v>
      </c>
      <c r="AF53">
        <f t="shared" si="17"/>
        <v>0</v>
      </c>
      <c r="AG53">
        <f t="shared" si="18"/>
        <v>0</v>
      </c>
      <c r="AH53">
        <f t="shared" si="19"/>
        <v>0</v>
      </c>
      <c r="AI53">
        <f t="shared" si="20"/>
        <v>0</v>
      </c>
      <c r="AJ53">
        <f t="shared" si="21"/>
        <v>0</v>
      </c>
      <c r="AK53">
        <f t="shared" si="22"/>
        <v>0</v>
      </c>
      <c r="AL53">
        <f t="shared" si="33"/>
        <v>0</v>
      </c>
      <c r="AM53">
        <f t="shared" si="34"/>
        <v>0</v>
      </c>
      <c r="AN53">
        <f t="shared" si="23"/>
        <v>0</v>
      </c>
      <c r="AO53">
        <f t="shared" si="24"/>
        <v>0</v>
      </c>
      <c r="AP53">
        <f t="shared" si="25"/>
        <v>0</v>
      </c>
      <c r="AQ53">
        <f t="shared" si="35"/>
        <v>0</v>
      </c>
      <c r="AR53">
        <f t="shared" si="36"/>
        <v>0</v>
      </c>
      <c r="AS53">
        <f t="shared" si="26"/>
        <v>0</v>
      </c>
      <c r="AT53">
        <f t="shared" si="27"/>
        <v>0</v>
      </c>
      <c r="AU53">
        <f t="shared" si="28"/>
        <v>0</v>
      </c>
      <c r="AV53">
        <f t="shared" si="29"/>
        <v>0</v>
      </c>
      <c r="AW53">
        <f t="shared" si="30"/>
        <v>0</v>
      </c>
      <c r="AX53">
        <f t="shared" si="31"/>
        <v>1</v>
      </c>
      <c r="AY53">
        <f t="shared" si="32"/>
        <v>1</v>
      </c>
      <c r="AZ53" t="s">
        <v>246</v>
      </c>
    </row>
    <row r="54" spans="1:52">
      <c r="A54">
        <v>53</v>
      </c>
      <c r="B54" s="14">
        <v>46178</v>
      </c>
      <c r="C54" t="s">
        <v>1</v>
      </c>
      <c r="D54" t="s">
        <v>7</v>
      </c>
      <c r="E54" t="s">
        <v>586</v>
      </c>
      <c r="F54" t="s">
        <v>17</v>
      </c>
      <c r="G54">
        <v>3</v>
      </c>
      <c r="H54">
        <v>6</v>
      </c>
      <c r="I54" t="s">
        <v>248</v>
      </c>
      <c r="J54" t="s">
        <v>248</v>
      </c>
      <c r="K54" t="s">
        <v>585</v>
      </c>
      <c r="L54" t="s">
        <v>191</v>
      </c>
      <c r="M54" t="s">
        <v>11</v>
      </c>
      <c r="N54" t="s">
        <v>198</v>
      </c>
      <c r="O54">
        <f t="shared" si="0"/>
        <v>0</v>
      </c>
      <c r="P54">
        <f t="shared" si="1"/>
        <v>0</v>
      </c>
      <c r="Q54">
        <f t="shared" si="2"/>
        <v>0</v>
      </c>
      <c r="R54">
        <f t="shared" si="3"/>
        <v>0</v>
      </c>
      <c r="S54">
        <f t="shared" si="4"/>
        <v>1</v>
      </c>
      <c r="T54">
        <f t="shared" si="5"/>
        <v>0</v>
      </c>
      <c r="U54">
        <f t="shared" si="6"/>
        <v>0</v>
      </c>
      <c r="V54">
        <f t="shared" si="7"/>
        <v>0</v>
      </c>
      <c r="W54">
        <f t="shared" si="8"/>
        <v>0</v>
      </c>
      <c r="X54">
        <f t="shared" si="9"/>
        <v>0</v>
      </c>
      <c r="Y54">
        <f t="shared" si="10"/>
        <v>0</v>
      </c>
      <c r="Z54">
        <f t="shared" si="11"/>
        <v>0</v>
      </c>
      <c r="AA54">
        <f t="shared" si="12"/>
        <v>0</v>
      </c>
      <c r="AB54">
        <f t="shared" si="13"/>
        <v>0</v>
      </c>
      <c r="AC54">
        <f t="shared" si="14"/>
        <v>0</v>
      </c>
      <c r="AD54">
        <f t="shared" si="15"/>
        <v>0</v>
      </c>
      <c r="AE54">
        <f t="shared" si="16"/>
        <v>0</v>
      </c>
      <c r="AF54">
        <f t="shared" si="17"/>
        <v>0</v>
      </c>
      <c r="AG54">
        <f t="shared" si="18"/>
        <v>0</v>
      </c>
      <c r="AH54">
        <f t="shared" si="19"/>
        <v>0</v>
      </c>
      <c r="AI54">
        <f t="shared" si="20"/>
        <v>0</v>
      </c>
      <c r="AJ54">
        <f t="shared" si="21"/>
        <v>0</v>
      </c>
      <c r="AK54">
        <f t="shared" si="22"/>
        <v>1</v>
      </c>
      <c r="AL54">
        <f t="shared" si="33"/>
        <v>0</v>
      </c>
      <c r="AM54">
        <f t="shared" si="34"/>
        <v>0</v>
      </c>
      <c r="AN54">
        <f t="shared" si="23"/>
        <v>0</v>
      </c>
      <c r="AO54">
        <f t="shared" si="24"/>
        <v>0</v>
      </c>
      <c r="AP54">
        <f t="shared" si="25"/>
        <v>0</v>
      </c>
      <c r="AQ54">
        <f t="shared" si="35"/>
        <v>0</v>
      </c>
      <c r="AR54">
        <f t="shared" si="36"/>
        <v>0</v>
      </c>
      <c r="AS54">
        <f t="shared" si="26"/>
        <v>0</v>
      </c>
      <c r="AT54">
        <f t="shared" si="27"/>
        <v>0</v>
      </c>
      <c r="AU54">
        <f t="shared" si="28"/>
        <v>0</v>
      </c>
      <c r="AV54">
        <f t="shared" si="29"/>
        <v>0</v>
      </c>
      <c r="AW54">
        <f t="shared" si="30"/>
        <v>0</v>
      </c>
      <c r="AX54">
        <f t="shared" si="31"/>
        <v>0</v>
      </c>
      <c r="AY54">
        <f t="shared" si="32"/>
        <v>0</v>
      </c>
      <c r="AZ54" t="s">
        <v>246</v>
      </c>
    </row>
    <row r="55" spans="1:52">
      <c r="A55">
        <v>54</v>
      </c>
      <c r="B55" s="14">
        <v>46178</v>
      </c>
      <c r="C55" t="s">
        <v>1</v>
      </c>
      <c r="D55" t="s">
        <v>7</v>
      </c>
      <c r="E55" t="s">
        <v>584</v>
      </c>
      <c r="F55" t="s">
        <v>13</v>
      </c>
      <c r="G55" t="s">
        <v>248</v>
      </c>
      <c r="H55" t="s">
        <v>248</v>
      </c>
      <c r="I55" t="s">
        <v>248</v>
      </c>
      <c r="J55" t="s">
        <v>248</v>
      </c>
      <c r="K55" t="s">
        <v>583</v>
      </c>
      <c r="L55" t="s">
        <v>505</v>
      </c>
      <c r="M55" t="s">
        <v>11</v>
      </c>
      <c r="N55" t="s">
        <v>198</v>
      </c>
      <c r="O55">
        <f t="shared" si="0"/>
        <v>0</v>
      </c>
      <c r="P55">
        <f t="shared" si="1"/>
        <v>0</v>
      </c>
      <c r="Q55">
        <f t="shared" si="2"/>
        <v>0</v>
      </c>
      <c r="R55">
        <f t="shared" si="3"/>
        <v>0</v>
      </c>
      <c r="S55">
        <f t="shared" si="4"/>
        <v>1</v>
      </c>
      <c r="T55">
        <f t="shared" si="5"/>
        <v>0</v>
      </c>
      <c r="U55">
        <f t="shared" si="6"/>
        <v>0</v>
      </c>
      <c r="V55">
        <f t="shared" si="7"/>
        <v>0</v>
      </c>
      <c r="W55">
        <f t="shared" si="8"/>
        <v>0</v>
      </c>
      <c r="X55">
        <f t="shared" si="9"/>
        <v>0</v>
      </c>
      <c r="Y55">
        <f t="shared" si="10"/>
        <v>0</v>
      </c>
      <c r="Z55">
        <f t="shared" si="11"/>
        <v>0</v>
      </c>
      <c r="AA55">
        <f t="shared" si="12"/>
        <v>0</v>
      </c>
      <c r="AB55">
        <f t="shared" si="13"/>
        <v>0</v>
      </c>
      <c r="AC55">
        <f t="shared" si="14"/>
        <v>0</v>
      </c>
      <c r="AD55">
        <f t="shared" si="15"/>
        <v>0</v>
      </c>
      <c r="AE55">
        <f t="shared" si="16"/>
        <v>0</v>
      </c>
      <c r="AF55">
        <f t="shared" si="17"/>
        <v>0</v>
      </c>
      <c r="AG55">
        <f t="shared" si="18"/>
        <v>0</v>
      </c>
      <c r="AH55">
        <f t="shared" si="19"/>
        <v>0</v>
      </c>
      <c r="AI55">
        <f t="shared" si="20"/>
        <v>0</v>
      </c>
      <c r="AJ55">
        <f t="shared" si="21"/>
        <v>0</v>
      </c>
      <c r="AK55">
        <f t="shared" si="22"/>
        <v>1</v>
      </c>
      <c r="AL55">
        <f t="shared" si="33"/>
        <v>0</v>
      </c>
      <c r="AM55">
        <f t="shared" si="34"/>
        <v>0</v>
      </c>
      <c r="AN55">
        <f t="shared" si="23"/>
        <v>1</v>
      </c>
      <c r="AO55">
        <f t="shared" si="24"/>
        <v>0</v>
      </c>
      <c r="AP55">
        <f t="shared" si="25"/>
        <v>0</v>
      </c>
      <c r="AQ55">
        <f t="shared" si="35"/>
        <v>0</v>
      </c>
      <c r="AR55">
        <f t="shared" si="36"/>
        <v>0</v>
      </c>
      <c r="AS55">
        <f t="shared" si="26"/>
        <v>0</v>
      </c>
      <c r="AT55">
        <f t="shared" si="27"/>
        <v>0</v>
      </c>
      <c r="AU55">
        <f t="shared" si="28"/>
        <v>0</v>
      </c>
      <c r="AV55">
        <f t="shared" si="29"/>
        <v>0</v>
      </c>
      <c r="AW55">
        <f t="shared" si="30"/>
        <v>0</v>
      </c>
      <c r="AX55">
        <f t="shared" si="31"/>
        <v>0</v>
      </c>
      <c r="AY55">
        <f t="shared" si="32"/>
        <v>0</v>
      </c>
      <c r="AZ55" t="s">
        <v>246</v>
      </c>
    </row>
    <row r="56" spans="1:52">
      <c r="A56">
        <v>55</v>
      </c>
      <c r="B56" s="14">
        <v>46178</v>
      </c>
      <c r="C56" t="s">
        <v>1</v>
      </c>
      <c r="D56" t="s">
        <v>4</v>
      </c>
      <c r="E56" t="s">
        <v>582</v>
      </c>
      <c r="F56" t="s">
        <v>3</v>
      </c>
      <c r="G56">
        <v>1</v>
      </c>
      <c r="H56">
        <v>2</v>
      </c>
      <c r="I56" t="s">
        <v>248</v>
      </c>
      <c r="J56" t="s">
        <v>248</v>
      </c>
      <c r="K56" t="s">
        <v>581</v>
      </c>
      <c r="L56" t="s">
        <v>191</v>
      </c>
      <c r="M56" t="s">
        <v>11</v>
      </c>
      <c r="N56" t="s">
        <v>202</v>
      </c>
      <c r="O56">
        <f t="shared" si="0"/>
        <v>1</v>
      </c>
      <c r="P56">
        <f t="shared" si="1"/>
        <v>0</v>
      </c>
      <c r="Q56">
        <f t="shared" si="2"/>
        <v>0</v>
      </c>
      <c r="R56">
        <f t="shared" si="3"/>
        <v>1</v>
      </c>
      <c r="S56">
        <f t="shared" si="4"/>
        <v>1</v>
      </c>
      <c r="T56">
        <f t="shared" si="5"/>
        <v>0</v>
      </c>
      <c r="U56">
        <f t="shared" si="6"/>
        <v>0</v>
      </c>
      <c r="V56">
        <f t="shared" si="7"/>
        <v>0</v>
      </c>
      <c r="W56">
        <f t="shared" si="8"/>
        <v>0</v>
      </c>
      <c r="X56">
        <f t="shared" si="9"/>
        <v>0</v>
      </c>
      <c r="Y56">
        <f t="shared" si="10"/>
        <v>0</v>
      </c>
      <c r="Z56">
        <f t="shared" si="11"/>
        <v>0</v>
      </c>
      <c r="AA56">
        <f t="shared" si="12"/>
        <v>0</v>
      </c>
      <c r="AB56">
        <f t="shared" si="13"/>
        <v>0</v>
      </c>
      <c r="AC56">
        <f t="shared" si="14"/>
        <v>0</v>
      </c>
      <c r="AD56">
        <f t="shared" si="15"/>
        <v>0</v>
      </c>
      <c r="AE56">
        <f t="shared" si="16"/>
        <v>0</v>
      </c>
      <c r="AF56">
        <f t="shared" si="17"/>
        <v>0</v>
      </c>
      <c r="AG56">
        <f t="shared" si="18"/>
        <v>0</v>
      </c>
      <c r="AH56">
        <f t="shared" si="19"/>
        <v>0</v>
      </c>
      <c r="AI56">
        <f t="shared" si="20"/>
        <v>0</v>
      </c>
      <c r="AJ56">
        <f t="shared" si="21"/>
        <v>0</v>
      </c>
      <c r="AK56">
        <f t="shared" si="22"/>
        <v>0</v>
      </c>
      <c r="AL56">
        <f t="shared" si="33"/>
        <v>0</v>
      </c>
      <c r="AM56">
        <f t="shared" si="34"/>
        <v>0</v>
      </c>
      <c r="AN56">
        <f t="shared" si="23"/>
        <v>0</v>
      </c>
      <c r="AO56">
        <f t="shared" si="24"/>
        <v>0</v>
      </c>
      <c r="AP56">
        <f t="shared" si="25"/>
        <v>0</v>
      </c>
      <c r="AQ56">
        <f t="shared" si="35"/>
        <v>0</v>
      </c>
      <c r="AR56">
        <f t="shared" si="36"/>
        <v>0</v>
      </c>
      <c r="AS56">
        <f t="shared" si="26"/>
        <v>1</v>
      </c>
      <c r="AT56">
        <f t="shared" si="27"/>
        <v>0</v>
      </c>
      <c r="AU56">
        <f t="shared" si="28"/>
        <v>1</v>
      </c>
      <c r="AV56">
        <f t="shared" si="29"/>
        <v>0</v>
      </c>
      <c r="AW56">
        <f t="shared" si="30"/>
        <v>0</v>
      </c>
      <c r="AX56">
        <f t="shared" si="31"/>
        <v>0</v>
      </c>
      <c r="AY56">
        <f t="shared" si="32"/>
        <v>0</v>
      </c>
      <c r="AZ56" t="s">
        <v>246</v>
      </c>
    </row>
    <row r="57" spans="1:52">
      <c r="A57">
        <v>56</v>
      </c>
      <c r="B57" s="14">
        <v>46178</v>
      </c>
      <c r="C57" t="s">
        <v>1</v>
      </c>
      <c r="D57" t="s">
        <v>9</v>
      </c>
      <c r="E57" t="s">
        <v>580</v>
      </c>
      <c r="F57" t="s">
        <v>14</v>
      </c>
      <c r="G57" t="s">
        <v>248</v>
      </c>
      <c r="H57" t="s">
        <v>248</v>
      </c>
      <c r="I57" t="s">
        <v>248</v>
      </c>
      <c r="J57" t="s">
        <v>248</v>
      </c>
      <c r="K57" t="s">
        <v>579</v>
      </c>
      <c r="L57" t="s">
        <v>191</v>
      </c>
      <c r="M57" t="s">
        <v>11</v>
      </c>
      <c r="N57" t="s">
        <v>206</v>
      </c>
      <c r="O57">
        <f t="shared" si="0"/>
        <v>1</v>
      </c>
      <c r="P57">
        <f t="shared" si="1"/>
        <v>0</v>
      </c>
      <c r="Q57">
        <f t="shared" si="2"/>
        <v>0</v>
      </c>
      <c r="R57">
        <f t="shared" si="3"/>
        <v>0</v>
      </c>
      <c r="S57">
        <f t="shared" si="4"/>
        <v>1</v>
      </c>
      <c r="T57">
        <f t="shared" si="5"/>
        <v>0</v>
      </c>
      <c r="U57">
        <f t="shared" si="6"/>
        <v>0</v>
      </c>
      <c r="V57">
        <f t="shared" si="7"/>
        <v>0</v>
      </c>
      <c r="W57">
        <f t="shared" si="8"/>
        <v>0</v>
      </c>
      <c r="X57">
        <f t="shared" si="9"/>
        <v>0</v>
      </c>
      <c r="Y57">
        <f t="shared" si="10"/>
        <v>0</v>
      </c>
      <c r="Z57">
        <f t="shared" si="11"/>
        <v>0</v>
      </c>
      <c r="AA57">
        <f t="shared" si="12"/>
        <v>0</v>
      </c>
      <c r="AB57">
        <f t="shared" si="13"/>
        <v>0</v>
      </c>
      <c r="AC57">
        <f t="shared" si="14"/>
        <v>1</v>
      </c>
      <c r="AD57">
        <f t="shared" si="15"/>
        <v>0</v>
      </c>
      <c r="AE57">
        <f t="shared" si="16"/>
        <v>0</v>
      </c>
      <c r="AF57">
        <f t="shared" si="17"/>
        <v>0</v>
      </c>
      <c r="AG57">
        <f t="shared" si="18"/>
        <v>0</v>
      </c>
      <c r="AH57">
        <f t="shared" si="19"/>
        <v>0</v>
      </c>
      <c r="AI57">
        <f t="shared" si="20"/>
        <v>0</v>
      </c>
      <c r="AJ57">
        <f t="shared" si="21"/>
        <v>0</v>
      </c>
      <c r="AK57">
        <f t="shared" si="22"/>
        <v>0</v>
      </c>
      <c r="AL57">
        <f t="shared" si="33"/>
        <v>0</v>
      </c>
      <c r="AM57">
        <f t="shared" si="34"/>
        <v>0</v>
      </c>
      <c r="AN57">
        <f t="shared" si="23"/>
        <v>0</v>
      </c>
      <c r="AO57">
        <f t="shared" si="24"/>
        <v>0</v>
      </c>
      <c r="AP57">
        <f t="shared" si="25"/>
        <v>0</v>
      </c>
      <c r="AQ57">
        <f t="shared" si="35"/>
        <v>0</v>
      </c>
      <c r="AR57">
        <f t="shared" si="36"/>
        <v>0</v>
      </c>
      <c r="AS57">
        <f t="shared" si="26"/>
        <v>0</v>
      </c>
      <c r="AT57">
        <f t="shared" si="27"/>
        <v>0</v>
      </c>
      <c r="AU57">
        <f t="shared" si="28"/>
        <v>0</v>
      </c>
      <c r="AV57">
        <f t="shared" si="29"/>
        <v>0</v>
      </c>
      <c r="AW57">
        <f t="shared" si="30"/>
        <v>0</v>
      </c>
      <c r="AX57">
        <f t="shared" si="31"/>
        <v>0</v>
      </c>
      <c r="AY57">
        <f t="shared" si="32"/>
        <v>0</v>
      </c>
      <c r="AZ57" t="s">
        <v>246</v>
      </c>
    </row>
    <row r="58" spans="1:52">
      <c r="A58">
        <v>57</v>
      </c>
      <c r="B58" s="14">
        <v>46178</v>
      </c>
      <c r="C58" t="s">
        <v>1</v>
      </c>
      <c r="D58" t="s">
        <v>9</v>
      </c>
      <c r="E58" t="s">
        <v>578</v>
      </c>
      <c r="F58" t="s">
        <v>5</v>
      </c>
      <c r="G58">
        <v>3</v>
      </c>
      <c r="H58" t="s">
        <v>248</v>
      </c>
      <c r="I58" t="s">
        <v>248</v>
      </c>
      <c r="J58" t="s">
        <v>248</v>
      </c>
      <c r="K58" t="s">
        <v>577</v>
      </c>
      <c r="L58" t="s">
        <v>576</v>
      </c>
      <c r="M58" t="s">
        <v>11</v>
      </c>
      <c r="N58" t="s">
        <v>198</v>
      </c>
      <c r="O58">
        <f t="shared" si="0"/>
        <v>1</v>
      </c>
      <c r="P58">
        <f t="shared" si="1"/>
        <v>1</v>
      </c>
      <c r="Q58">
        <f t="shared" si="2"/>
        <v>1</v>
      </c>
      <c r="R58">
        <f t="shared" si="3"/>
        <v>0</v>
      </c>
      <c r="S58">
        <f t="shared" si="4"/>
        <v>0</v>
      </c>
      <c r="T58">
        <f t="shared" si="5"/>
        <v>0</v>
      </c>
      <c r="U58">
        <f t="shared" si="6"/>
        <v>0</v>
      </c>
      <c r="V58">
        <f t="shared" si="7"/>
        <v>0</v>
      </c>
      <c r="W58">
        <f t="shared" si="8"/>
        <v>0</v>
      </c>
      <c r="X58">
        <f t="shared" si="9"/>
        <v>0</v>
      </c>
      <c r="Y58">
        <f t="shared" si="10"/>
        <v>0</v>
      </c>
      <c r="Z58">
        <f t="shared" si="11"/>
        <v>0</v>
      </c>
      <c r="AA58">
        <f t="shared" si="12"/>
        <v>0</v>
      </c>
      <c r="AB58">
        <f t="shared" si="13"/>
        <v>0</v>
      </c>
      <c r="AC58">
        <f t="shared" si="14"/>
        <v>1</v>
      </c>
      <c r="AD58">
        <f t="shared" si="15"/>
        <v>0</v>
      </c>
      <c r="AE58">
        <f t="shared" si="16"/>
        <v>0</v>
      </c>
      <c r="AF58">
        <f t="shared" si="17"/>
        <v>0</v>
      </c>
      <c r="AG58">
        <f t="shared" si="18"/>
        <v>0</v>
      </c>
      <c r="AH58">
        <f t="shared" si="19"/>
        <v>0</v>
      </c>
      <c r="AI58">
        <f t="shared" si="20"/>
        <v>0</v>
      </c>
      <c r="AJ58">
        <f t="shared" si="21"/>
        <v>0</v>
      </c>
      <c r="AK58">
        <f t="shared" si="22"/>
        <v>0</v>
      </c>
      <c r="AL58">
        <f t="shared" si="33"/>
        <v>0</v>
      </c>
      <c r="AM58">
        <f t="shared" si="34"/>
        <v>0</v>
      </c>
      <c r="AN58">
        <f t="shared" si="23"/>
        <v>0</v>
      </c>
      <c r="AO58">
        <f t="shared" si="24"/>
        <v>0</v>
      </c>
      <c r="AP58">
        <f t="shared" si="25"/>
        <v>0</v>
      </c>
      <c r="AQ58">
        <f t="shared" si="35"/>
        <v>0</v>
      </c>
      <c r="AR58">
        <f t="shared" si="36"/>
        <v>0</v>
      </c>
      <c r="AS58">
        <f t="shared" si="26"/>
        <v>0</v>
      </c>
      <c r="AT58">
        <f t="shared" si="27"/>
        <v>0</v>
      </c>
      <c r="AU58">
        <f t="shared" si="28"/>
        <v>0</v>
      </c>
      <c r="AV58">
        <f t="shared" si="29"/>
        <v>0</v>
      </c>
      <c r="AW58">
        <f t="shared" si="30"/>
        <v>0</v>
      </c>
      <c r="AX58">
        <f t="shared" si="31"/>
        <v>0</v>
      </c>
      <c r="AY58">
        <f t="shared" si="32"/>
        <v>0</v>
      </c>
      <c r="AZ58" t="s">
        <v>246</v>
      </c>
    </row>
    <row r="59" spans="1:52">
      <c r="A59">
        <v>58</v>
      </c>
      <c r="B59" s="14">
        <v>46178</v>
      </c>
      <c r="C59" t="s">
        <v>1</v>
      </c>
      <c r="D59" t="s">
        <v>9</v>
      </c>
      <c r="E59" t="s">
        <v>575</v>
      </c>
      <c r="F59" t="s">
        <v>3</v>
      </c>
      <c r="G59">
        <v>2</v>
      </c>
      <c r="H59">
        <v>6</v>
      </c>
      <c r="I59" t="s">
        <v>248</v>
      </c>
      <c r="J59" t="s">
        <v>248</v>
      </c>
      <c r="K59" t="s">
        <v>574</v>
      </c>
      <c r="L59" t="s">
        <v>191</v>
      </c>
      <c r="M59" t="s">
        <v>10</v>
      </c>
      <c r="N59" t="s">
        <v>206</v>
      </c>
      <c r="O59">
        <f t="shared" si="0"/>
        <v>1</v>
      </c>
      <c r="P59">
        <f t="shared" si="1"/>
        <v>0</v>
      </c>
      <c r="Q59">
        <f t="shared" si="2"/>
        <v>1</v>
      </c>
      <c r="R59">
        <f t="shared" si="3"/>
        <v>0</v>
      </c>
      <c r="S59">
        <f t="shared" si="4"/>
        <v>1</v>
      </c>
      <c r="T59">
        <f t="shared" si="5"/>
        <v>0</v>
      </c>
      <c r="U59">
        <f t="shared" si="6"/>
        <v>0</v>
      </c>
      <c r="V59">
        <f t="shared" si="7"/>
        <v>0</v>
      </c>
      <c r="W59">
        <f t="shared" si="8"/>
        <v>0</v>
      </c>
      <c r="X59">
        <f t="shared" si="9"/>
        <v>1</v>
      </c>
      <c r="Y59">
        <f t="shared" si="10"/>
        <v>0</v>
      </c>
      <c r="Z59">
        <f t="shared" si="11"/>
        <v>0</v>
      </c>
      <c r="AA59">
        <f t="shared" si="12"/>
        <v>0</v>
      </c>
      <c r="AB59">
        <f t="shared" si="13"/>
        <v>0</v>
      </c>
      <c r="AC59">
        <f t="shared" si="14"/>
        <v>0</v>
      </c>
      <c r="AD59">
        <f t="shared" si="15"/>
        <v>0</v>
      </c>
      <c r="AE59">
        <f t="shared" si="16"/>
        <v>0</v>
      </c>
      <c r="AF59">
        <f t="shared" si="17"/>
        <v>0</v>
      </c>
      <c r="AG59">
        <f t="shared" si="18"/>
        <v>0</v>
      </c>
      <c r="AH59">
        <f t="shared" si="19"/>
        <v>0</v>
      </c>
      <c r="AI59">
        <f t="shared" si="20"/>
        <v>0</v>
      </c>
      <c r="AJ59">
        <f t="shared" si="21"/>
        <v>0</v>
      </c>
      <c r="AK59">
        <f t="shared" si="22"/>
        <v>0</v>
      </c>
      <c r="AL59">
        <f t="shared" si="33"/>
        <v>0</v>
      </c>
      <c r="AM59">
        <f t="shared" si="34"/>
        <v>0</v>
      </c>
      <c r="AN59">
        <f t="shared" si="23"/>
        <v>0</v>
      </c>
      <c r="AO59">
        <f t="shared" si="24"/>
        <v>0</v>
      </c>
      <c r="AP59">
        <f t="shared" si="25"/>
        <v>0</v>
      </c>
      <c r="AQ59">
        <f t="shared" si="35"/>
        <v>0</v>
      </c>
      <c r="AR59">
        <f t="shared" si="36"/>
        <v>0</v>
      </c>
      <c r="AS59">
        <f t="shared" si="26"/>
        <v>0</v>
      </c>
      <c r="AT59">
        <f t="shared" si="27"/>
        <v>0</v>
      </c>
      <c r="AU59">
        <f t="shared" si="28"/>
        <v>0</v>
      </c>
      <c r="AV59">
        <f t="shared" si="29"/>
        <v>0</v>
      </c>
      <c r="AW59">
        <f t="shared" si="30"/>
        <v>0</v>
      </c>
      <c r="AX59">
        <f t="shared" si="31"/>
        <v>0</v>
      </c>
      <c r="AY59">
        <f t="shared" si="32"/>
        <v>0</v>
      </c>
      <c r="AZ59" t="s">
        <v>246</v>
      </c>
    </row>
    <row r="60" spans="1:52">
      <c r="A60">
        <v>59</v>
      </c>
      <c r="B60" s="14">
        <v>46178</v>
      </c>
      <c r="C60" t="s">
        <v>1</v>
      </c>
      <c r="D60" t="s">
        <v>7</v>
      </c>
      <c r="E60" t="s">
        <v>573</v>
      </c>
      <c r="F60" t="s">
        <v>3</v>
      </c>
      <c r="G60">
        <v>1</v>
      </c>
      <c r="H60">
        <v>2</v>
      </c>
      <c r="I60" t="s">
        <v>248</v>
      </c>
      <c r="J60" t="s">
        <v>248</v>
      </c>
      <c r="K60" t="s">
        <v>572</v>
      </c>
      <c r="L60" t="s">
        <v>191</v>
      </c>
      <c r="M60" t="s">
        <v>11</v>
      </c>
      <c r="N60" t="s">
        <v>190</v>
      </c>
      <c r="O60">
        <f t="shared" si="0"/>
        <v>0</v>
      </c>
      <c r="P60">
        <f t="shared" si="1"/>
        <v>0</v>
      </c>
      <c r="Q60">
        <f t="shared" si="2"/>
        <v>0</v>
      </c>
      <c r="R60">
        <f t="shared" si="3"/>
        <v>0</v>
      </c>
      <c r="S60">
        <f t="shared" si="4"/>
        <v>1</v>
      </c>
      <c r="T60">
        <f t="shared" si="5"/>
        <v>0</v>
      </c>
      <c r="U60">
        <f t="shared" si="6"/>
        <v>0</v>
      </c>
      <c r="V60">
        <f t="shared" si="7"/>
        <v>0</v>
      </c>
      <c r="W60">
        <f t="shared" si="8"/>
        <v>0</v>
      </c>
      <c r="X60">
        <f t="shared" si="9"/>
        <v>0</v>
      </c>
      <c r="Y60">
        <f t="shared" si="10"/>
        <v>0</v>
      </c>
      <c r="Z60">
        <f t="shared" si="11"/>
        <v>0</v>
      </c>
      <c r="AA60">
        <f t="shared" si="12"/>
        <v>0</v>
      </c>
      <c r="AB60">
        <f t="shared" si="13"/>
        <v>0</v>
      </c>
      <c r="AC60">
        <f t="shared" si="14"/>
        <v>0</v>
      </c>
      <c r="AD60">
        <f t="shared" si="15"/>
        <v>0</v>
      </c>
      <c r="AE60">
        <f t="shared" si="16"/>
        <v>0</v>
      </c>
      <c r="AF60">
        <f t="shared" si="17"/>
        <v>0</v>
      </c>
      <c r="AG60">
        <f t="shared" si="18"/>
        <v>0</v>
      </c>
      <c r="AH60">
        <f t="shared" si="19"/>
        <v>0</v>
      </c>
      <c r="AI60">
        <f t="shared" si="20"/>
        <v>0</v>
      </c>
      <c r="AJ60">
        <f t="shared" si="21"/>
        <v>0</v>
      </c>
      <c r="AK60">
        <f t="shared" si="22"/>
        <v>0</v>
      </c>
      <c r="AL60">
        <f t="shared" si="33"/>
        <v>0</v>
      </c>
      <c r="AM60">
        <f t="shared" si="34"/>
        <v>0</v>
      </c>
      <c r="AN60">
        <f t="shared" si="23"/>
        <v>0</v>
      </c>
      <c r="AO60">
        <f t="shared" si="24"/>
        <v>0</v>
      </c>
      <c r="AP60">
        <f t="shared" si="25"/>
        <v>0</v>
      </c>
      <c r="AQ60">
        <f t="shared" si="35"/>
        <v>0</v>
      </c>
      <c r="AR60">
        <f t="shared" si="36"/>
        <v>0</v>
      </c>
      <c r="AS60">
        <f t="shared" si="26"/>
        <v>0</v>
      </c>
      <c r="AT60">
        <f t="shared" si="27"/>
        <v>1</v>
      </c>
      <c r="AU60">
        <f t="shared" si="28"/>
        <v>0</v>
      </c>
      <c r="AV60">
        <f t="shared" si="29"/>
        <v>0</v>
      </c>
      <c r="AW60">
        <f t="shared" si="30"/>
        <v>0</v>
      </c>
      <c r="AX60">
        <f t="shared" si="31"/>
        <v>0</v>
      </c>
      <c r="AY60">
        <f t="shared" si="32"/>
        <v>0</v>
      </c>
      <c r="AZ60" t="s">
        <v>246</v>
      </c>
    </row>
    <row r="61" spans="1:52">
      <c r="A61">
        <v>60</v>
      </c>
      <c r="B61" s="14">
        <v>46178</v>
      </c>
      <c r="C61" t="s">
        <v>1</v>
      </c>
      <c r="D61" t="s">
        <v>9</v>
      </c>
      <c r="E61" t="s">
        <v>571</v>
      </c>
      <c r="F61" t="s">
        <v>3</v>
      </c>
      <c r="G61">
        <v>2</v>
      </c>
      <c r="H61">
        <v>4</v>
      </c>
      <c r="I61" t="s">
        <v>248</v>
      </c>
      <c r="J61" t="s">
        <v>248</v>
      </c>
      <c r="K61" t="s">
        <v>570</v>
      </c>
      <c r="L61" t="s">
        <v>569</v>
      </c>
      <c r="M61" t="s">
        <v>11</v>
      </c>
      <c r="N61" t="s">
        <v>206</v>
      </c>
      <c r="O61">
        <f t="shared" si="0"/>
        <v>1</v>
      </c>
      <c r="P61">
        <f t="shared" si="1"/>
        <v>0</v>
      </c>
      <c r="Q61">
        <f t="shared" si="2"/>
        <v>1</v>
      </c>
      <c r="R61">
        <f t="shared" si="3"/>
        <v>0</v>
      </c>
      <c r="S61">
        <f t="shared" si="4"/>
        <v>0</v>
      </c>
      <c r="T61">
        <f t="shared" si="5"/>
        <v>0</v>
      </c>
      <c r="U61">
        <f t="shared" si="6"/>
        <v>0</v>
      </c>
      <c r="V61">
        <f t="shared" si="7"/>
        <v>0</v>
      </c>
      <c r="W61">
        <f t="shared" si="8"/>
        <v>0</v>
      </c>
      <c r="X61">
        <f t="shared" si="9"/>
        <v>0</v>
      </c>
      <c r="Y61">
        <f t="shared" si="10"/>
        <v>0</v>
      </c>
      <c r="Z61">
        <f t="shared" si="11"/>
        <v>0</v>
      </c>
      <c r="AA61">
        <f t="shared" si="12"/>
        <v>0</v>
      </c>
      <c r="AB61">
        <f t="shared" si="13"/>
        <v>0</v>
      </c>
      <c r="AC61">
        <f t="shared" si="14"/>
        <v>0</v>
      </c>
      <c r="AD61">
        <f t="shared" si="15"/>
        <v>0</v>
      </c>
      <c r="AE61">
        <f t="shared" si="16"/>
        <v>0</v>
      </c>
      <c r="AF61">
        <f t="shared" si="17"/>
        <v>0</v>
      </c>
      <c r="AG61">
        <f t="shared" si="18"/>
        <v>0</v>
      </c>
      <c r="AH61">
        <f t="shared" si="19"/>
        <v>0</v>
      </c>
      <c r="AI61">
        <f t="shared" si="20"/>
        <v>0</v>
      </c>
      <c r="AJ61">
        <f t="shared" si="21"/>
        <v>0</v>
      </c>
      <c r="AK61">
        <f t="shared" si="22"/>
        <v>0</v>
      </c>
      <c r="AL61">
        <f t="shared" si="33"/>
        <v>0</v>
      </c>
      <c r="AM61">
        <f t="shared" si="34"/>
        <v>0</v>
      </c>
      <c r="AN61">
        <f t="shared" si="23"/>
        <v>0</v>
      </c>
      <c r="AO61">
        <f t="shared" si="24"/>
        <v>0</v>
      </c>
      <c r="AP61">
        <f t="shared" si="25"/>
        <v>0</v>
      </c>
      <c r="AQ61">
        <f t="shared" si="35"/>
        <v>0</v>
      </c>
      <c r="AR61">
        <f t="shared" si="36"/>
        <v>0</v>
      </c>
      <c r="AS61">
        <f t="shared" si="26"/>
        <v>0</v>
      </c>
      <c r="AT61">
        <f t="shared" si="27"/>
        <v>0</v>
      </c>
      <c r="AU61">
        <f t="shared" si="28"/>
        <v>0</v>
      </c>
      <c r="AV61">
        <f t="shared" si="29"/>
        <v>0</v>
      </c>
      <c r="AW61">
        <f t="shared" si="30"/>
        <v>0</v>
      </c>
      <c r="AX61">
        <f t="shared" si="31"/>
        <v>0</v>
      </c>
      <c r="AY61">
        <f t="shared" si="32"/>
        <v>0</v>
      </c>
      <c r="AZ61" t="s">
        <v>246</v>
      </c>
    </row>
    <row r="62" spans="1:52">
      <c r="A62">
        <v>61</v>
      </c>
      <c r="B62" s="14">
        <v>46178</v>
      </c>
      <c r="C62" t="s">
        <v>1</v>
      </c>
      <c r="D62" t="s">
        <v>4</v>
      </c>
      <c r="E62" t="s">
        <v>568</v>
      </c>
      <c r="F62" t="s">
        <v>3</v>
      </c>
      <c r="G62">
        <v>2</v>
      </c>
      <c r="H62">
        <v>4</v>
      </c>
      <c r="I62" t="s">
        <v>248</v>
      </c>
      <c r="J62" t="s">
        <v>248</v>
      </c>
      <c r="K62" t="s">
        <v>567</v>
      </c>
      <c r="L62" t="s">
        <v>566</v>
      </c>
      <c r="M62" t="s">
        <v>11</v>
      </c>
      <c r="N62" t="s">
        <v>202</v>
      </c>
      <c r="O62">
        <f t="shared" si="0"/>
        <v>1</v>
      </c>
      <c r="P62">
        <f t="shared" si="1"/>
        <v>0</v>
      </c>
      <c r="Q62">
        <f t="shared" si="2"/>
        <v>1</v>
      </c>
      <c r="R62">
        <f t="shared" si="3"/>
        <v>0</v>
      </c>
      <c r="S62">
        <f t="shared" si="4"/>
        <v>0</v>
      </c>
      <c r="T62">
        <f t="shared" si="5"/>
        <v>0</v>
      </c>
      <c r="U62">
        <f t="shared" si="6"/>
        <v>0</v>
      </c>
      <c r="V62">
        <f t="shared" si="7"/>
        <v>0</v>
      </c>
      <c r="W62">
        <f t="shared" si="8"/>
        <v>0</v>
      </c>
      <c r="X62">
        <f t="shared" si="9"/>
        <v>0</v>
      </c>
      <c r="Y62">
        <f t="shared" si="10"/>
        <v>0</v>
      </c>
      <c r="Z62">
        <f t="shared" si="11"/>
        <v>0</v>
      </c>
      <c r="AA62">
        <f t="shared" si="12"/>
        <v>0</v>
      </c>
      <c r="AB62">
        <f t="shared" si="13"/>
        <v>0</v>
      </c>
      <c r="AC62">
        <f t="shared" si="14"/>
        <v>0</v>
      </c>
      <c r="AD62">
        <f t="shared" si="15"/>
        <v>0</v>
      </c>
      <c r="AE62">
        <f t="shared" si="16"/>
        <v>0</v>
      </c>
      <c r="AF62">
        <f t="shared" si="17"/>
        <v>0</v>
      </c>
      <c r="AG62">
        <f t="shared" si="18"/>
        <v>0</v>
      </c>
      <c r="AH62">
        <f t="shared" si="19"/>
        <v>0</v>
      </c>
      <c r="AI62">
        <f t="shared" si="20"/>
        <v>0</v>
      </c>
      <c r="AJ62">
        <f t="shared" si="21"/>
        <v>0</v>
      </c>
      <c r="AK62">
        <f t="shared" si="22"/>
        <v>0</v>
      </c>
      <c r="AL62">
        <f t="shared" si="33"/>
        <v>0</v>
      </c>
      <c r="AM62">
        <f t="shared" si="34"/>
        <v>0</v>
      </c>
      <c r="AN62">
        <f t="shared" si="23"/>
        <v>0</v>
      </c>
      <c r="AO62">
        <f t="shared" si="24"/>
        <v>0</v>
      </c>
      <c r="AP62">
        <f t="shared" si="25"/>
        <v>0</v>
      </c>
      <c r="AQ62">
        <f t="shared" si="35"/>
        <v>0</v>
      </c>
      <c r="AR62">
        <f t="shared" si="36"/>
        <v>0</v>
      </c>
      <c r="AS62">
        <f t="shared" si="26"/>
        <v>0</v>
      </c>
      <c r="AT62">
        <f t="shared" si="27"/>
        <v>0</v>
      </c>
      <c r="AU62">
        <f t="shared" si="28"/>
        <v>0</v>
      </c>
      <c r="AV62">
        <f t="shared" si="29"/>
        <v>0</v>
      </c>
      <c r="AW62">
        <f t="shared" si="30"/>
        <v>0</v>
      </c>
      <c r="AX62">
        <f t="shared" si="31"/>
        <v>0</v>
      </c>
      <c r="AY62">
        <f t="shared" si="32"/>
        <v>0</v>
      </c>
      <c r="AZ62" t="s">
        <v>246</v>
      </c>
    </row>
    <row r="63" spans="1:52">
      <c r="A63">
        <v>62</v>
      </c>
      <c r="B63" s="14">
        <v>46178</v>
      </c>
      <c r="C63" t="s">
        <v>1</v>
      </c>
      <c r="D63" t="s">
        <v>9</v>
      </c>
      <c r="E63" t="s">
        <v>565</v>
      </c>
      <c r="F63" t="s">
        <v>3</v>
      </c>
      <c r="G63" t="s">
        <v>248</v>
      </c>
      <c r="H63" t="s">
        <v>248</v>
      </c>
      <c r="I63" t="s">
        <v>248</v>
      </c>
      <c r="J63" t="s">
        <v>248</v>
      </c>
      <c r="K63" t="s">
        <v>564</v>
      </c>
      <c r="L63" t="s">
        <v>563</v>
      </c>
      <c r="M63" t="s">
        <v>11</v>
      </c>
      <c r="N63" t="s">
        <v>190</v>
      </c>
      <c r="O63">
        <f t="shared" si="0"/>
        <v>0</v>
      </c>
      <c r="P63">
        <f t="shared" si="1"/>
        <v>0</v>
      </c>
      <c r="Q63">
        <f t="shared" si="2"/>
        <v>1</v>
      </c>
      <c r="R63">
        <f t="shared" si="3"/>
        <v>0</v>
      </c>
      <c r="S63">
        <f t="shared" si="4"/>
        <v>0</v>
      </c>
      <c r="T63">
        <f t="shared" si="5"/>
        <v>0</v>
      </c>
      <c r="U63">
        <f t="shared" si="6"/>
        <v>0</v>
      </c>
      <c r="V63">
        <f t="shared" si="7"/>
        <v>0</v>
      </c>
      <c r="W63">
        <f t="shared" si="8"/>
        <v>0</v>
      </c>
      <c r="X63">
        <f t="shared" si="9"/>
        <v>0</v>
      </c>
      <c r="Y63">
        <f t="shared" si="10"/>
        <v>0</v>
      </c>
      <c r="Z63">
        <f t="shared" si="11"/>
        <v>0</v>
      </c>
      <c r="AA63">
        <f t="shared" si="12"/>
        <v>0</v>
      </c>
      <c r="AB63">
        <f t="shared" si="13"/>
        <v>0</v>
      </c>
      <c r="AC63">
        <f t="shared" si="14"/>
        <v>1</v>
      </c>
      <c r="AD63">
        <f t="shared" si="15"/>
        <v>0</v>
      </c>
      <c r="AE63">
        <f t="shared" si="16"/>
        <v>0</v>
      </c>
      <c r="AF63">
        <f t="shared" si="17"/>
        <v>0</v>
      </c>
      <c r="AG63">
        <f t="shared" si="18"/>
        <v>0</v>
      </c>
      <c r="AH63">
        <f t="shared" si="19"/>
        <v>0</v>
      </c>
      <c r="AI63">
        <f t="shared" si="20"/>
        <v>0</v>
      </c>
      <c r="AJ63">
        <f t="shared" si="21"/>
        <v>0</v>
      </c>
      <c r="AK63">
        <f t="shared" si="22"/>
        <v>0</v>
      </c>
      <c r="AL63">
        <f t="shared" si="33"/>
        <v>0</v>
      </c>
      <c r="AM63">
        <f t="shared" si="34"/>
        <v>0</v>
      </c>
      <c r="AN63">
        <f t="shared" si="23"/>
        <v>0</v>
      </c>
      <c r="AO63">
        <f t="shared" si="24"/>
        <v>0</v>
      </c>
      <c r="AP63">
        <f t="shared" si="25"/>
        <v>0</v>
      </c>
      <c r="AQ63">
        <f t="shared" si="35"/>
        <v>0</v>
      </c>
      <c r="AR63">
        <f t="shared" si="36"/>
        <v>1</v>
      </c>
      <c r="AS63">
        <f t="shared" si="26"/>
        <v>0</v>
      </c>
      <c r="AT63">
        <f t="shared" si="27"/>
        <v>0</v>
      </c>
      <c r="AU63">
        <f t="shared" si="28"/>
        <v>0</v>
      </c>
      <c r="AV63">
        <f t="shared" si="29"/>
        <v>0</v>
      </c>
      <c r="AW63">
        <f t="shared" si="30"/>
        <v>0</v>
      </c>
      <c r="AX63">
        <f t="shared" si="31"/>
        <v>0</v>
      </c>
      <c r="AY63">
        <f t="shared" si="32"/>
        <v>0</v>
      </c>
      <c r="AZ63" t="s">
        <v>246</v>
      </c>
    </row>
    <row r="64" spans="1:52">
      <c r="A64">
        <v>63</v>
      </c>
      <c r="B64" s="14">
        <v>46178</v>
      </c>
      <c r="C64" t="s">
        <v>1</v>
      </c>
      <c r="D64" t="s">
        <v>9</v>
      </c>
      <c r="E64" s="2" t="s">
        <v>562</v>
      </c>
      <c r="F64" t="s">
        <v>3</v>
      </c>
      <c r="G64">
        <v>1</v>
      </c>
      <c r="H64">
        <v>5</v>
      </c>
      <c r="I64" t="s">
        <v>248</v>
      </c>
      <c r="J64" t="s">
        <v>248</v>
      </c>
      <c r="K64" t="s">
        <v>561</v>
      </c>
      <c r="L64" t="s">
        <v>560</v>
      </c>
      <c r="M64" t="s">
        <v>11</v>
      </c>
      <c r="N64" t="s">
        <v>206</v>
      </c>
      <c r="O64">
        <f t="shared" si="0"/>
        <v>1</v>
      </c>
      <c r="P64">
        <f t="shared" si="1"/>
        <v>0</v>
      </c>
      <c r="Q64">
        <f t="shared" si="2"/>
        <v>1</v>
      </c>
      <c r="R64">
        <f t="shared" si="3"/>
        <v>0</v>
      </c>
      <c r="S64">
        <f t="shared" si="4"/>
        <v>0</v>
      </c>
      <c r="T64">
        <f t="shared" si="5"/>
        <v>0</v>
      </c>
      <c r="U64">
        <f t="shared" si="6"/>
        <v>0</v>
      </c>
      <c r="V64">
        <f t="shared" si="7"/>
        <v>0</v>
      </c>
      <c r="W64">
        <f t="shared" si="8"/>
        <v>0</v>
      </c>
      <c r="X64">
        <f t="shared" si="9"/>
        <v>0</v>
      </c>
      <c r="Y64">
        <f t="shared" si="10"/>
        <v>0</v>
      </c>
      <c r="Z64">
        <f t="shared" si="11"/>
        <v>0</v>
      </c>
      <c r="AA64">
        <f t="shared" si="12"/>
        <v>0</v>
      </c>
      <c r="AB64">
        <f t="shared" si="13"/>
        <v>0</v>
      </c>
      <c r="AC64">
        <f t="shared" si="14"/>
        <v>0</v>
      </c>
      <c r="AD64">
        <f t="shared" si="15"/>
        <v>0</v>
      </c>
      <c r="AE64">
        <f t="shared" si="16"/>
        <v>0</v>
      </c>
      <c r="AF64">
        <f t="shared" si="17"/>
        <v>0</v>
      </c>
      <c r="AG64">
        <f t="shared" si="18"/>
        <v>0</v>
      </c>
      <c r="AH64">
        <f t="shared" si="19"/>
        <v>1</v>
      </c>
      <c r="AI64">
        <f t="shared" si="20"/>
        <v>0</v>
      </c>
      <c r="AJ64">
        <f t="shared" si="21"/>
        <v>0</v>
      </c>
      <c r="AK64">
        <f t="shared" si="22"/>
        <v>0</v>
      </c>
      <c r="AL64">
        <f t="shared" si="33"/>
        <v>0</v>
      </c>
      <c r="AM64">
        <f t="shared" si="34"/>
        <v>1</v>
      </c>
      <c r="AN64">
        <f t="shared" si="23"/>
        <v>0</v>
      </c>
      <c r="AO64">
        <f t="shared" si="24"/>
        <v>0</v>
      </c>
      <c r="AP64">
        <f t="shared" si="25"/>
        <v>0</v>
      </c>
      <c r="AQ64">
        <f t="shared" si="35"/>
        <v>1</v>
      </c>
      <c r="AR64">
        <f t="shared" si="36"/>
        <v>0</v>
      </c>
      <c r="AS64">
        <f t="shared" si="26"/>
        <v>0</v>
      </c>
      <c r="AT64">
        <f t="shared" si="27"/>
        <v>0</v>
      </c>
      <c r="AU64">
        <f t="shared" si="28"/>
        <v>0</v>
      </c>
      <c r="AV64">
        <f t="shared" si="29"/>
        <v>0</v>
      </c>
      <c r="AW64">
        <f t="shared" si="30"/>
        <v>0</v>
      </c>
      <c r="AX64">
        <f t="shared" si="31"/>
        <v>0</v>
      </c>
      <c r="AY64">
        <f t="shared" si="32"/>
        <v>0</v>
      </c>
      <c r="AZ64" t="s">
        <v>246</v>
      </c>
    </row>
    <row r="65" spans="1:52">
      <c r="A65">
        <v>64</v>
      </c>
      <c r="B65" s="14">
        <v>46178</v>
      </c>
      <c r="C65" t="s">
        <v>1</v>
      </c>
      <c r="D65" t="s">
        <v>2</v>
      </c>
      <c r="E65" t="s">
        <v>559</v>
      </c>
      <c r="F65" t="s">
        <v>3</v>
      </c>
      <c r="G65">
        <v>6</v>
      </c>
      <c r="H65" t="s">
        <v>248</v>
      </c>
      <c r="I65" t="s">
        <v>248</v>
      </c>
      <c r="J65" t="s">
        <v>248</v>
      </c>
      <c r="K65" t="s">
        <v>558</v>
      </c>
      <c r="L65" t="s">
        <v>191</v>
      </c>
      <c r="M65" t="s">
        <v>11</v>
      </c>
      <c r="N65" t="s">
        <v>190</v>
      </c>
      <c r="O65">
        <f t="shared" si="0"/>
        <v>1</v>
      </c>
      <c r="P65">
        <f t="shared" si="1"/>
        <v>0</v>
      </c>
      <c r="Q65">
        <f t="shared" si="2"/>
        <v>0</v>
      </c>
      <c r="R65">
        <f t="shared" si="3"/>
        <v>0</v>
      </c>
      <c r="S65">
        <f t="shared" si="4"/>
        <v>0</v>
      </c>
      <c r="T65">
        <f t="shared" si="5"/>
        <v>0</v>
      </c>
      <c r="U65">
        <f t="shared" si="6"/>
        <v>0</v>
      </c>
      <c r="V65">
        <f t="shared" si="7"/>
        <v>0</v>
      </c>
      <c r="W65">
        <f t="shared" si="8"/>
        <v>0</v>
      </c>
      <c r="X65">
        <f t="shared" si="9"/>
        <v>0</v>
      </c>
      <c r="Y65">
        <f t="shared" si="10"/>
        <v>0</v>
      </c>
      <c r="Z65">
        <f t="shared" si="11"/>
        <v>0</v>
      </c>
      <c r="AA65">
        <f t="shared" si="12"/>
        <v>0</v>
      </c>
      <c r="AB65">
        <f t="shared" si="13"/>
        <v>0</v>
      </c>
      <c r="AC65">
        <f t="shared" si="14"/>
        <v>0</v>
      </c>
      <c r="AD65">
        <f t="shared" si="15"/>
        <v>0</v>
      </c>
      <c r="AE65">
        <f t="shared" si="16"/>
        <v>1</v>
      </c>
      <c r="AF65">
        <f t="shared" si="17"/>
        <v>0</v>
      </c>
      <c r="AG65">
        <f t="shared" si="18"/>
        <v>1</v>
      </c>
      <c r="AH65">
        <f t="shared" si="19"/>
        <v>0</v>
      </c>
      <c r="AI65">
        <f t="shared" si="20"/>
        <v>0</v>
      </c>
      <c r="AJ65">
        <f t="shared" si="21"/>
        <v>0</v>
      </c>
      <c r="AK65">
        <f t="shared" si="22"/>
        <v>0</v>
      </c>
      <c r="AL65">
        <f t="shared" si="33"/>
        <v>0</v>
      </c>
      <c r="AM65">
        <f t="shared" si="34"/>
        <v>0</v>
      </c>
      <c r="AN65">
        <f t="shared" si="23"/>
        <v>0</v>
      </c>
      <c r="AO65">
        <f t="shared" si="24"/>
        <v>0</v>
      </c>
      <c r="AP65">
        <f t="shared" si="25"/>
        <v>0</v>
      </c>
      <c r="AQ65">
        <f t="shared" si="35"/>
        <v>0</v>
      </c>
      <c r="AR65">
        <f t="shared" si="36"/>
        <v>0</v>
      </c>
      <c r="AS65">
        <f t="shared" si="26"/>
        <v>0</v>
      </c>
      <c r="AT65">
        <f t="shared" si="27"/>
        <v>0</v>
      </c>
      <c r="AU65">
        <f t="shared" si="28"/>
        <v>0</v>
      </c>
      <c r="AV65">
        <f t="shared" si="29"/>
        <v>0</v>
      </c>
      <c r="AW65">
        <f t="shared" si="30"/>
        <v>1</v>
      </c>
      <c r="AX65">
        <f t="shared" si="31"/>
        <v>0</v>
      </c>
      <c r="AY65">
        <f t="shared" si="32"/>
        <v>0</v>
      </c>
      <c r="AZ65" t="s">
        <v>246</v>
      </c>
    </row>
    <row r="66" spans="1:52">
      <c r="A66">
        <v>65</v>
      </c>
      <c r="B66" s="14">
        <v>46178</v>
      </c>
      <c r="C66" t="s">
        <v>1</v>
      </c>
      <c r="D66" t="s">
        <v>9</v>
      </c>
      <c r="E66" t="s">
        <v>557</v>
      </c>
      <c r="F66" t="s">
        <v>5</v>
      </c>
      <c r="G66" t="s">
        <v>248</v>
      </c>
      <c r="H66" t="s">
        <v>248</v>
      </c>
      <c r="I66" t="s">
        <v>248</v>
      </c>
      <c r="J66" t="s">
        <v>248</v>
      </c>
      <c r="K66" t="s">
        <v>556</v>
      </c>
      <c r="L66" t="s">
        <v>191</v>
      </c>
      <c r="M66" t="s">
        <v>11</v>
      </c>
      <c r="N66" t="s">
        <v>190</v>
      </c>
      <c r="O66">
        <f t="shared" ref="O66:O129" si="37">IF(ISBLANK(K66),0,IF(ISNUMBER(SEARCH("sql",K66)),1,0))</f>
        <v>1</v>
      </c>
      <c r="P66">
        <f t="shared" ref="P66:P129" si="38">IF(ISBLANK(K66),0,IF(ISNUMBER(SEARCH("Python",K66)),1,0))</f>
        <v>0</v>
      </c>
      <c r="Q66">
        <f t="shared" ref="Q66:Q129" si="39">IF(ISBLANK(K66),0,IF(ISNUMBER(SEARCH("PowerBI",K66)),1,0))</f>
        <v>0</v>
      </c>
      <c r="R66">
        <f t="shared" ref="R66:R129" si="40">IF(ISBLANK(K66),0,IF(ISNUMBER(SEARCH("Tableau",K66)),1,0))</f>
        <v>0</v>
      </c>
      <c r="S66">
        <f t="shared" ref="S66:S129" si="41">IF(ISBLANK(K66),0,IF(ISNUMBER(SEARCH("Excel",K66)),1,0))</f>
        <v>0</v>
      </c>
      <c r="T66">
        <f t="shared" ref="T66:T129" si="42">IF(ISBLANK(K66),0,IF(ISNUMBER(SEARCH("Statistics",K66)),1,0))</f>
        <v>0</v>
      </c>
      <c r="U66">
        <f t="shared" ref="U66:U129" si="43">IF(ISBLANK(K66),0,IF(ISNUMBER(SEARCH("AWS",K66)),1,0))</f>
        <v>0</v>
      </c>
      <c r="V66">
        <f t="shared" ref="V66:V129" si="44">IF(ISBLANK(K66),0,IF(ISNUMBER(SEARCH("GCP",K66)),1,0))</f>
        <v>0</v>
      </c>
      <c r="W66">
        <f t="shared" ref="W66:W129" si="45">IF(ISBLANK(K66),0,IF(ISNUMBER(SEARCH("NoSQL",K66)),1,0))</f>
        <v>0</v>
      </c>
      <c r="X66">
        <f t="shared" ref="X66:X129" si="46">IF(ISBLANK(K66),0,IF(ISNUMBER(SEARCH("Data Modeling",K66)),1,0))</f>
        <v>0</v>
      </c>
      <c r="Y66">
        <f t="shared" ref="Y66:Y129" si="47">IF(ISBLANK(K66),0,IF(ISNUMBER(SEARCH("Pandas",K66)),1,0))</f>
        <v>0</v>
      </c>
      <c r="Z66">
        <f t="shared" ref="Z66:Z129" si="48">IF(ISBLANK(K66),0,IF(ISNUMBER(SEARCH("Numpy",K66)),1,0))</f>
        <v>0</v>
      </c>
      <c r="AA66">
        <f t="shared" ref="AA66:AA129" si="49">IF(ISBLANK(K66),0,IF(ISNUMBER(SEARCH("Pyspark",K66)),1,0))</f>
        <v>0</v>
      </c>
      <c r="AB66">
        <f t="shared" ref="AB66:AB129" si="50">IF(ISBLANK(K66),0,IF(ISNUMBER(SEARCH("Hadoop",K66)),1,0))</f>
        <v>0</v>
      </c>
      <c r="AC66">
        <f t="shared" ref="AC66:AC129" si="51">IF(ISBLANK(K66),0,IF(ISNUMBER(SEARCH("ETL",K66)),1,0))</f>
        <v>0</v>
      </c>
      <c r="AD66">
        <f t="shared" ref="AD66:AD129" si="52">IF(ISBLANK(K66),0,IF(ISNUMBER(SEARCH("Azure",K66)),1,0))</f>
        <v>0</v>
      </c>
      <c r="AE66">
        <f t="shared" ref="AE66:AE129" si="53">IF(ISBLANK(K66),0,IF(ISNUMBER(SEARCH("Databricks",K66)),1,0))</f>
        <v>0</v>
      </c>
      <c r="AF66">
        <f t="shared" ref="AF66:AF129" si="54">IF(ISBLANK(K66),0,IF(ISNUMBER(SEARCH("A/B Testing",K66)),1,0))</f>
        <v>0</v>
      </c>
      <c r="AG66">
        <f t="shared" ref="AG66:AG129" si="55">IF(ISBLANK(K66),0,IF(ISNUMBER(SEARCH("Snowflake",K66)),1,0))</f>
        <v>0</v>
      </c>
      <c r="AH66">
        <f t="shared" ref="AH66:AH129" si="56">IF(ISBLANK(K66),0,IF(ISNUMBER(SEARCH("Agile",K66)),1,0))</f>
        <v>0</v>
      </c>
      <c r="AI66">
        <f t="shared" ref="AI66:AI129" si="57">IF(ISBLANK(K66),0,IF(ISNUMBER(SEARCH("Jira",K66)),1,0))</f>
        <v>0</v>
      </c>
      <c r="AJ66">
        <f t="shared" ref="AJ66:AJ129" si="58">IF(ISBLANK(K66),0,IF(ISNUMBER(SEARCH("Git",K66)),1,0))</f>
        <v>0</v>
      </c>
      <c r="AK66">
        <f t="shared" ref="AK66:AK129" si="59">IF(ISBLANK(K66),0,IF(ISNUMBER(SEARCH("Reporting",K66)),1,0))</f>
        <v>0</v>
      </c>
      <c r="AL66">
        <f t="shared" si="33"/>
        <v>0</v>
      </c>
      <c r="AM66">
        <f t="shared" si="34"/>
        <v>0</v>
      </c>
      <c r="AN66">
        <f t="shared" ref="AN66:AN129" si="60">IF(ISBLANK(L66),0,IF(ISNUMBER(SEARCH("SQL",L66)),1,0))</f>
        <v>0</v>
      </c>
      <c r="AO66">
        <f t="shared" ref="AO66:AO129" si="61">IF(ISBLANK(L66),0,IF(ISNUMBER(SEARCH("Airflow",L66)),1,0))</f>
        <v>0</v>
      </c>
      <c r="AP66">
        <f t="shared" ref="AP66:AP129" si="62">IF(ISBLANK(L66),0,IF(ISNUMBER(SEARCH("Kafka",L66)),1,0))</f>
        <v>0</v>
      </c>
      <c r="AQ66">
        <f t="shared" si="35"/>
        <v>0</v>
      </c>
      <c r="AR66">
        <f t="shared" si="36"/>
        <v>0</v>
      </c>
      <c r="AS66">
        <f t="shared" ref="AS66:AS129" si="63">IF(ISBLANK(L68),0,IF(ISNUMBER(SEARCH("Docker",L68)),1,0))</f>
        <v>0</v>
      </c>
      <c r="AT66">
        <f t="shared" ref="AT66:AT129" si="64">IF(ISBLANK(L68),0,IF(ISNUMBER(SEARCH("dbt",L68)),1,0))</f>
        <v>0</v>
      </c>
      <c r="AU66">
        <f t="shared" ref="AU66:AU129" si="65">IF(ISBLANK(L68),0,IF(ISNUMBER(SEARCH("AWS",L68)),1,0))</f>
        <v>0</v>
      </c>
      <c r="AV66">
        <f t="shared" ref="AV66:AV129" si="66">IF(ISBLANK(L68),0,IF(ISNUMBER(SEARCH("GCP",L68)),1,0))</f>
        <v>0</v>
      </c>
      <c r="AW66">
        <f t="shared" ref="AW66:AW129" si="67">IF(ISBLANK(L68),0,IF(ISNUMBER(SEARCH("Azure",L68)),1,0))</f>
        <v>0</v>
      </c>
      <c r="AX66">
        <f t="shared" ref="AX66:AX129" si="68">IF(ISBLANK(M68),0,IF(ISNUMBER(SEARCH("Tableau",L68)),1,0))</f>
        <v>0</v>
      </c>
      <c r="AY66">
        <f t="shared" ref="AY66:AY129" si="69">IF(ISBLANK(N68),0,IF(ISNUMBER(SEARCH("PowerBI",L68)),1,0))</f>
        <v>0</v>
      </c>
      <c r="AZ66" t="s">
        <v>246</v>
      </c>
    </row>
    <row r="67" spans="1:52">
      <c r="A67">
        <v>66</v>
      </c>
      <c r="B67" s="14">
        <v>46178</v>
      </c>
      <c r="C67" t="s">
        <v>1</v>
      </c>
      <c r="D67" t="s">
        <v>9</v>
      </c>
      <c r="E67" t="s">
        <v>555</v>
      </c>
      <c r="F67" t="s">
        <v>3</v>
      </c>
      <c r="G67">
        <v>3</v>
      </c>
      <c r="H67">
        <v>5</v>
      </c>
      <c r="I67" t="s">
        <v>248</v>
      </c>
      <c r="J67" t="s">
        <v>248</v>
      </c>
      <c r="K67" t="s">
        <v>554</v>
      </c>
      <c r="L67" t="s">
        <v>553</v>
      </c>
      <c r="M67" t="s">
        <v>11</v>
      </c>
      <c r="N67" t="s">
        <v>198</v>
      </c>
      <c r="O67">
        <f t="shared" si="37"/>
        <v>1</v>
      </c>
      <c r="P67">
        <f t="shared" si="38"/>
        <v>0</v>
      </c>
      <c r="Q67">
        <f t="shared" si="39"/>
        <v>1</v>
      </c>
      <c r="R67">
        <f t="shared" si="40"/>
        <v>0</v>
      </c>
      <c r="S67">
        <f t="shared" si="41"/>
        <v>0</v>
      </c>
      <c r="T67">
        <f t="shared" si="42"/>
        <v>0</v>
      </c>
      <c r="U67">
        <f t="shared" si="43"/>
        <v>0</v>
      </c>
      <c r="V67">
        <f t="shared" si="44"/>
        <v>0</v>
      </c>
      <c r="W67">
        <f t="shared" si="45"/>
        <v>0</v>
      </c>
      <c r="X67">
        <f t="shared" si="46"/>
        <v>1</v>
      </c>
      <c r="Y67">
        <f t="shared" si="47"/>
        <v>0</v>
      </c>
      <c r="Z67">
        <f t="shared" si="48"/>
        <v>0</v>
      </c>
      <c r="AA67">
        <f t="shared" si="49"/>
        <v>0</v>
      </c>
      <c r="AB67">
        <f t="shared" si="50"/>
        <v>0</v>
      </c>
      <c r="AC67">
        <f t="shared" si="51"/>
        <v>0</v>
      </c>
      <c r="AD67">
        <f t="shared" si="52"/>
        <v>0</v>
      </c>
      <c r="AE67">
        <f t="shared" si="53"/>
        <v>0</v>
      </c>
      <c r="AF67">
        <f t="shared" si="54"/>
        <v>0</v>
      </c>
      <c r="AG67">
        <f t="shared" si="55"/>
        <v>0</v>
      </c>
      <c r="AH67">
        <f t="shared" si="56"/>
        <v>0</v>
      </c>
      <c r="AI67">
        <f t="shared" si="57"/>
        <v>0</v>
      </c>
      <c r="AJ67">
        <f t="shared" si="58"/>
        <v>0</v>
      </c>
      <c r="AK67">
        <f t="shared" si="59"/>
        <v>0</v>
      </c>
      <c r="AL67">
        <f t="shared" ref="AL67:AL130" si="70">IF(ISBLANK(K67),0,IF(ISNUMBER(SEARCH("CI/CD",K67)),1,0))</f>
        <v>0</v>
      </c>
      <c r="AM67">
        <f t="shared" ref="AM67:AM130" si="71">IF(ISBLANK(L67),0,IF(ISNUMBER(SEARCH("Python",L67)),1,0))</f>
        <v>0</v>
      </c>
      <c r="AN67">
        <f t="shared" si="60"/>
        <v>0</v>
      </c>
      <c r="AO67">
        <f t="shared" si="61"/>
        <v>0</v>
      </c>
      <c r="AP67">
        <f t="shared" si="62"/>
        <v>0</v>
      </c>
      <c r="AQ67">
        <f t="shared" ref="AQ67:AQ130" si="72">IF(ISBLANK(L67),0,IF(ISNUMBER(SEARCH("ML",L67)),1,0))</f>
        <v>0</v>
      </c>
      <c r="AR67">
        <f t="shared" ref="AR67:AR130" si="73">IF(ISBLANK(L68),0,IF(ISNUMBER(SEARCH("ML",L68)),1,0))</f>
        <v>0</v>
      </c>
      <c r="AS67">
        <f t="shared" si="63"/>
        <v>0</v>
      </c>
      <c r="AT67">
        <f t="shared" si="64"/>
        <v>0</v>
      </c>
      <c r="AU67">
        <f t="shared" si="65"/>
        <v>0</v>
      </c>
      <c r="AV67">
        <f t="shared" si="66"/>
        <v>0</v>
      </c>
      <c r="AW67">
        <f t="shared" si="67"/>
        <v>0</v>
      </c>
      <c r="AX67">
        <f t="shared" si="68"/>
        <v>0</v>
      </c>
      <c r="AY67">
        <f t="shared" si="69"/>
        <v>0</v>
      </c>
      <c r="AZ67" t="s">
        <v>246</v>
      </c>
    </row>
    <row r="68" spans="1:52">
      <c r="A68">
        <v>67</v>
      </c>
      <c r="B68" s="14">
        <v>46178</v>
      </c>
      <c r="C68" t="s">
        <v>1</v>
      </c>
      <c r="D68" t="s">
        <v>9</v>
      </c>
      <c r="E68" t="s">
        <v>552</v>
      </c>
      <c r="F68" t="s">
        <v>14</v>
      </c>
      <c r="G68">
        <v>1</v>
      </c>
      <c r="H68">
        <v>5</v>
      </c>
      <c r="I68" t="s">
        <v>248</v>
      </c>
      <c r="J68" t="s">
        <v>248</v>
      </c>
      <c r="K68" t="s">
        <v>551</v>
      </c>
      <c r="L68" t="s">
        <v>191</v>
      </c>
      <c r="M68" t="s">
        <v>11</v>
      </c>
      <c r="N68" t="s">
        <v>198</v>
      </c>
      <c r="O68">
        <f t="shared" si="37"/>
        <v>1</v>
      </c>
      <c r="P68">
        <f t="shared" si="38"/>
        <v>0</v>
      </c>
      <c r="Q68">
        <f t="shared" si="39"/>
        <v>1</v>
      </c>
      <c r="R68">
        <f t="shared" si="40"/>
        <v>0</v>
      </c>
      <c r="S68">
        <f t="shared" si="41"/>
        <v>0</v>
      </c>
      <c r="T68">
        <f t="shared" si="42"/>
        <v>0</v>
      </c>
      <c r="U68">
        <f t="shared" si="43"/>
        <v>0</v>
      </c>
      <c r="V68">
        <f t="shared" si="44"/>
        <v>0</v>
      </c>
      <c r="W68">
        <f t="shared" si="45"/>
        <v>0</v>
      </c>
      <c r="X68">
        <f t="shared" si="46"/>
        <v>0</v>
      </c>
      <c r="Y68">
        <f t="shared" si="47"/>
        <v>0</v>
      </c>
      <c r="Z68">
        <f t="shared" si="48"/>
        <v>0</v>
      </c>
      <c r="AA68">
        <f t="shared" si="49"/>
        <v>0</v>
      </c>
      <c r="AB68">
        <f t="shared" si="50"/>
        <v>0</v>
      </c>
      <c r="AC68">
        <f t="shared" si="51"/>
        <v>0</v>
      </c>
      <c r="AD68">
        <f t="shared" si="52"/>
        <v>0</v>
      </c>
      <c r="AE68">
        <f t="shared" si="53"/>
        <v>0</v>
      </c>
      <c r="AF68">
        <f t="shared" si="54"/>
        <v>0</v>
      </c>
      <c r="AG68">
        <f t="shared" si="55"/>
        <v>0</v>
      </c>
      <c r="AH68">
        <f t="shared" si="56"/>
        <v>0</v>
      </c>
      <c r="AI68">
        <f t="shared" si="57"/>
        <v>0</v>
      </c>
      <c r="AJ68">
        <f t="shared" si="58"/>
        <v>0</v>
      </c>
      <c r="AK68">
        <f t="shared" si="59"/>
        <v>0</v>
      </c>
      <c r="AL68">
        <f t="shared" si="70"/>
        <v>0</v>
      </c>
      <c r="AM68">
        <f t="shared" si="71"/>
        <v>0</v>
      </c>
      <c r="AN68">
        <f t="shared" si="60"/>
        <v>0</v>
      </c>
      <c r="AO68">
        <f t="shared" si="61"/>
        <v>0</v>
      </c>
      <c r="AP68">
        <f t="shared" si="62"/>
        <v>0</v>
      </c>
      <c r="AQ68">
        <f t="shared" si="72"/>
        <v>0</v>
      </c>
      <c r="AR68">
        <f t="shared" si="73"/>
        <v>0</v>
      </c>
      <c r="AS68">
        <f t="shared" si="63"/>
        <v>0</v>
      </c>
      <c r="AT68">
        <f t="shared" si="64"/>
        <v>0</v>
      </c>
      <c r="AU68">
        <f t="shared" si="65"/>
        <v>1</v>
      </c>
      <c r="AV68">
        <f t="shared" si="66"/>
        <v>0</v>
      </c>
      <c r="AW68">
        <f t="shared" si="67"/>
        <v>0</v>
      </c>
      <c r="AX68">
        <f t="shared" si="68"/>
        <v>0</v>
      </c>
      <c r="AY68">
        <f t="shared" si="69"/>
        <v>0</v>
      </c>
      <c r="AZ68" t="s">
        <v>246</v>
      </c>
    </row>
    <row r="69" spans="1:52">
      <c r="A69">
        <v>68</v>
      </c>
      <c r="B69" s="14">
        <v>46178</v>
      </c>
      <c r="C69" t="s">
        <v>1</v>
      </c>
      <c r="D69" t="s">
        <v>9</v>
      </c>
      <c r="E69" t="s">
        <v>550</v>
      </c>
      <c r="F69" t="s">
        <v>3</v>
      </c>
      <c r="G69">
        <v>3</v>
      </c>
      <c r="H69">
        <v>5</v>
      </c>
      <c r="I69" t="s">
        <v>248</v>
      </c>
      <c r="J69" t="s">
        <v>248</v>
      </c>
      <c r="K69" t="s">
        <v>549</v>
      </c>
      <c r="L69" t="s">
        <v>191</v>
      </c>
      <c r="M69" t="s">
        <v>11</v>
      </c>
      <c r="N69" t="s">
        <v>190</v>
      </c>
      <c r="O69">
        <f t="shared" si="37"/>
        <v>1</v>
      </c>
      <c r="P69">
        <f t="shared" si="38"/>
        <v>0</v>
      </c>
      <c r="Q69">
        <f t="shared" si="39"/>
        <v>0</v>
      </c>
      <c r="R69">
        <f t="shared" si="40"/>
        <v>1</v>
      </c>
      <c r="S69">
        <f t="shared" si="41"/>
        <v>0</v>
      </c>
      <c r="T69">
        <f t="shared" si="42"/>
        <v>0</v>
      </c>
      <c r="U69">
        <f t="shared" si="43"/>
        <v>0</v>
      </c>
      <c r="V69">
        <f t="shared" si="44"/>
        <v>0</v>
      </c>
      <c r="W69">
        <f t="shared" si="45"/>
        <v>0</v>
      </c>
      <c r="X69">
        <f t="shared" si="46"/>
        <v>0</v>
      </c>
      <c r="Y69">
        <f t="shared" si="47"/>
        <v>0</v>
      </c>
      <c r="Z69">
        <f t="shared" si="48"/>
        <v>0</v>
      </c>
      <c r="AA69">
        <f t="shared" si="49"/>
        <v>0</v>
      </c>
      <c r="AB69">
        <f t="shared" si="50"/>
        <v>0</v>
      </c>
      <c r="AC69">
        <f t="shared" si="51"/>
        <v>1</v>
      </c>
      <c r="AD69">
        <f t="shared" si="52"/>
        <v>0</v>
      </c>
      <c r="AE69">
        <f t="shared" si="53"/>
        <v>0</v>
      </c>
      <c r="AF69">
        <f t="shared" si="54"/>
        <v>0</v>
      </c>
      <c r="AG69">
        <f t="shared" si="55"/>
        <v>0</v>
      </c>
      <c r="AH69">
        <f t="shared" si="56"/>
        <v>0</v>
      </c>
      <c r="AI69">
        <f t="shared" si="57"/>
        <v>0</v>
      </c>
      <c r="AJ69">
        <f t="shared" si="58"/>
        <v>0</v>
      </c>
      <c r="AK69">
        <f t="shared" si="59"/>
        <v>0</v>
      </c>
      <c r="AL69">
        <f t="shared" si="70"/>
        <v>0</v>
      </c>
      <c r="AM69">
        <f t="shared" si="71"/>
        <v>0</v>
      </c>
      <c r="AN69">
        <f t="shared" si="60"/>
        <v>0</v>
      </c>
      <c r="AO69">
        <f t="shared" si="61"/>
        <v>0</v>
      </c>
      <c r="AP69">
        <f t="shared" si="62"/>
        <v>0</v>
      </c>
      <c r="AQ69">
        <f t="shared" si="72"/>
        <v>0</v>
      </c>
      <c r="AR69">
        <f t="shared" si="73"/>
        <v>1</v>
      </c>
      <c r="AS69">
        <f t="shared" si="63"/>
        <v>0</v>
      </c>
      <c r="AT69">
        <f t="shared" si="64"/>
        <v>0</v>
      </c>
      <c r="AU69">
        <f t="shared" si="65"/>
        <v>0</v>
      </c>
      <c r="AV69">
        <f t="shared" si="66"/>
        <v>0</v>
      </c>
      <c r="AW69">
        <f t="shared" si="67"/>
        <v>1</v>
      </c>
      <c r="AX69">
        <f t="shared" si="68"/>
        <v>0</v>
      </c>
      <c r="AY69">
        <f t="shared" si="69"/>
        <v>0</v>
      </c>
      <c r="AZ69" t="s">
        <v>246</v>
      </c>
    </row>
    <row r="70" spans="1:52">
      <c r="A70">
        <v>69</v>
      </c>
      <c r="B70" s="14">
        <v>46178</v>
      </c>
      <c r="C70" t="s">
        <v>1</v>
      </c>
      <c r="D70" t="s">
        <v>9</v>
      </c>
      <c r="E70" t="s">
        <v>548</v>
      </c>
      <c r="F70" t="s">
        <v>3</v>
      </c>
      <c r="G70">
        <v>3</v>
      </c>
      <c r="H70" t="s">
        <v>248</v>
      </c>
      <c r="I70" t="s">
        <v>248</v>
      </c>
      <c r="J70" t="s">
        <v>248</v>
      </c>
      <c r="K70" t="s">
        <v>545</v>
      </c>
      <c r="L70" t="s">
        <v>547</v>
      </c>
      <c r="M70" t="s">
        <v>11</v>
      </c>
      <c r="N70" t="s">
        <v>198</v>
      </c>
      <c r="O70">
        <f t="shared" si="37"/>
        <v>1</v>
      </c>
      <c r="P70">
        <f t="shared" si="38"/>
        <v>0</v>
      </c>
      <c r="Q70">
        <f t="shared" si="39"/>
        <v>1</v>
      </c>
      <c r="R70">
        <f t="shared" si="40"/>
        <v>0</v>
      </c>
      <c r="S70">
        <f t="shared" si="41"/>
        <v>0</v>
      </c>
      <c r="T70">
        <f t="shared" si="42"/>
        <v>0</v>
      </c>
      <c r="U70">
        <f t="shared" si="43"/>
        <v>0</v>
      </c>
      <c r="V70">
        <f t="shared" si="44"/>
        <v>0</v>
      </c>
      <c r="W70">
        <f t="shared" si="45"/>
        <v>0</v>
      </c>
      <c r="X70">
        <f t="shared" si="46"/>
        <v>0</v>
      </c>
      <c r="Y70">
        <f t="shared" si="47"/>
        <v>0</v>
      </c>
      <c r="Z70">
        <f t="shared" si="48"/>
        <v>0</v>
      </c>
      <c r="AA70">
        <f t="shared" si="49"/>
        <v>0</v>
      </c>
      <c r="AB70">
        <f t="shared" si="50"/>
        <v>0</v>
      </c>
      <c r="AC70">
        <f t="shared" si="51"/>
        <v>1</v>
      </c>
      <c r="AD70">
        <f t="shared" si="52"/>
        <v>0</v>
      </c>
      <c r="AE70">
        <f t="shared" si="53"/>
        <v>0</v>
      </c>
      <c r="AF70">
        <f t="shared" si="54"/>
        <v>0</v>
      </c>
      <c r="AG70">
        <f t="shared" si="55"/>
        <v>0</v>
      </c>
      <c r="AH70">
        <f t="shared" si="56"/>
        <v>0</v>
      </c>
      <c r="AI70">
        <f t="shared" si="57"/>
        <v>0</v>
      </c>
      <c r="AJ70">
        <f t="shared" si="58"/>
        <v>0</v>
      </c>
      <c r="AK70">
        <f t="shared" si="59"/>
        <v>0</v>
      </c>
      <c r="AL70">
        <f t="shared" si="70"/>
        <v>0</v>
      </c>
      <c r="AM70">
        <f t="shared" si="71"/>
        <v>1</v>
      </c>
      <c r="AN70">
        <f t="shared" si="60"/>
        <v>0</v>
      </c>
      <c r="AO70">
        <f t="shared" si="61"/>
        <v>0</v>
      </c>
      <c r="AP70">
        <f t="shared" si="62"/>
        <v>0</v>
      </c>
      <c r="AQ70">
        <f t="shared" si="72"/>
        <v>1</v>
      </c>
      <c r="AR70">
        <f t="shared" si="73"/>
        <v>0</v>
      </c>
      <c r="AS70">
        <f t="shared" si="63"/>
        <v>0</v>
      </c>
      <c r="AT70">
        <f t="shared" si="64"/>
        <v>0</v>
      </c>
      <c r="AU70">
        <f t="shared" si="65"/>
        <v>0</v>
      </c>
      <c r="AV70">
        <f t="shared" si="66"/>
        <v>0</v>
      </c>
      <c r="AW70">
        <f t="shared" si="67"/>
        <v>0</v>
      </c>
      <c r="AX70">
        <f t="shared" si="68"/>
        <v>0</v>
      </c>
      <c r="AY70">
        <f t="shared" si="69"/>
        <v>0</v>
      </c>
      <c r="AZ70" t="s">
        <v>246</v>
      </c>
    </row>
    <row r="71" spans="1:52">
      <c r="A71">
        <v>70</v>
      </c>
      <c r="B71" s="14">
        <v>46178</v>
      </c>
      <c r="C71" t="s">
        <v>1</v>
      </c>
      <c r="D71" t="s">
        <v>9</v>
      </c>
      <c r="E71" t="s">
        <v>546</v>
      </c>
      <c r="F71" t="s">
        <v>3</v>
      </c>
      <c r="G71">
        <v>3</v>
      </c>
      <c r="H71" t="s">
        <v>248</v>
      </c>
      <c r="I71" t="s">
        <v>248</v>
      </c>
      <c r="J71" t="s">
        <v>248</v>
      </c>
      <c r="K71" t="s">
        <v>545</v>
      </c>
      <c r="L71" t="s">
        <v>544</v>
      </c>
      <c r="M71" t="s">
        <v>11</v>
      </c>
      <c r="N71" t="s">
        <v>190</v>
      </c>
      <c r="O71">
        <f t="shared" si="37"/>
        <v>1</v>
      </c>
      <c r="P71">
        <f t="shared" si="38"/>
        <v>0</v>
      </c>
      <c r="Q71">
        <f t="shared" si="39"/>
        <v>1</v>
      </c>
      <c r="R71">
        <f t="shared" si="40"/>
        <v>0</v>
      </c>
      <c r="S71">
        <f t="shared" si="41"/>
        <v>0</v>
      </c>
      <c r="T71">
        <f t="shared" si="42"/>
        <v>0</v>
      </c>
      <c r="U71">
        <f t="shared" si="43"/>
        <v>0</v>
      </c>
      <c r="V71">
        <f t="shared" si="44"/>
        <v>0</v>
      </c>
      <c r="W71">
        <f t="shared" si="45"/>
        <v>0</v>
      </c>
      <c r="X71">
        <f t="shared" si="46"/>
        <v>0</v>
      </c>
      <c r="Y71">
        <f t="shared" si="47"/>
        <v>0</v>
      </c>
      <c r="Z71">
        <f t="shared" si="48"/>
        <v>0</v>
      </c>
      <c r="AA71">
        <f t="shared" si="49"/>
        <v>0</v>
      </c>
      <c r="AB71">
        <f t="shared" si="50"/>
        <v>0</v>
      </c>
      <c r="AC71">
        <f t="shared" si="51"/>
        <v>1</v>
      </c>
      <c r="AD71">
        <f t="shared" si="52"/>
        <v>0</v>
      </c>
      <c r="AE71">
        <f t="shared" si="53"/>
        <v>0</v>
      </c>
      <c r="AF71">
        <f t="shared" si="54"/>
        <v>0</v>
      </c>
      <c r="AG71">
        <f t="shared" si="55"/>
        <v>0</v>
      </c>
      <c r="AH71">
        <f t="shared" si="56"/>
        <v>0</v>
      </c>
      <c r="AI71">
        <f t="shared" si="57"/>
        <v>0</v>
      </c>
      <c r="AJ71">
        <f t="shared" si="58"/>
        <v>0</v>
      </c>
      <c r="AK71">
        <f t="shared" si="59"/>
        <v>0</v>
      </c>
      <c r="AL71">
        <f t="shared" si="70"/>
        <v>0</v>
      </c>
      <c r="AM71">
        <f t="shared" si="71"/>
        <v>0</v>
      </c>
      <c r="AN71">
        <f t="shared" si="60"/>
        <v>0</v>
      </c>
      <c r="AO71">
        <f t="shared" si="61"/>
        <v>0</v>
      </c>
      <c r="AP71">
        <f t="shared" si="62"/>
        <v>0</v>
      </c>
      <c r="AQ71">
        <f t="shared" si="72"/>
        <v>0</v>
      </c>
      <c r="AR71">
        <f t="shared" si="73"/>
        <v>0</v>
      </c>
      <c r="AS71">
        <f t="shared" si="63"/>
        <v>0</v>
      </c>
      <c r="AT71">
        <f t="shared" si="64"/>
        <v>0</v>
      </c>
      <c r="AU71">
        <f t="shared" si="65"/>
        <v>0</v>
      </c>
      <c r="AV71">
        <f t="shared" si="66"/>
        <v>0</v>
      </c>
      <c r="AW71">
        <f t="shared" si="67"/>
        <v>0</v>
      </c>
      <c r="AX71">
        <f t="shared" si="68"/>
        <v>0</v>
      </c>
      <c r="AY71">
        <f t="shared" si="69"/>
        <v>0</v>
      </c>
      <c r="AZ71" t="s">
        <v>246</v>
      </c>
    </row>
    <row r="72" spans="1:52">
      <c r="A72">
        <v>71</v>
      </c>
      <c r="B72" s="14">
        <v>46178</v>
      </c>
      <c r="C72" t="s">
        <v>18</v>
      </c>
      <c r="D72" t="s">
        <v>2</v>
      </c>
      <c r="E72" t="s">
        <v>543</v>
      </c>
      <c r="F72" t="s">
        <v>13</v>
      </c>
      <c r="G72">
        <v>0</v>
      </c>
      <c r="H72">
        <v>3</v>
      </c>
      <c r="I72" s="3">
        <v>0.5</v>
      </c>
      <c r="J72">
        <v>2.5</v>
      </c>
      <c r="K72" t="s">
        <v>301</v>
      </c>
      <c r="L72" t="s">
        <v>19</v>
      </c>
      <c r="M72" t="s">
        <v>11</v>
      </c>
      <c r="N72" t="s">
        <v>190</v>
      </c>
      <c r="O72">
        <f t="shared" si="37"/>
        <v>1</v>
      </c>
      <c r="P72">
        <f t="shared" si="38"/>
        <v>0</v>
      </c>
      <c r="Q72">
        <f t="shared" si="39"/>
        <v>1</v>
      </c>
      <c r="R72">
        <f t="shared" si="40"/>
        <v>1</v>
      </c>
      <c r="S72">
        <f t="shared" si="41"/>
        <v>1</v>
      </c>
      <c r="T72">
        <f t="shared" si="42"/>
        <v>1</v>
      </c>
      <c r="U72">
        <f t="shared" si="43"/>
        <v>0</v>
      </c>
      <c r="V72">
        <f t="shared" si="44"/>
        <v>0</v>
      </c>
      <c r="W72">
        <f t="shared" si="45"/>
        <v>0</v>
      </c>
      <c r="X72">
        <f t="shared" si="46"/>
        <v>0</v>
      </c>
      <c r="Y72">
        <f t="shared" si="47"/>
        <v>0</v>
      </c>
      <c r="Z72">
        <f t="shared" si="48"/>
        <v>0</v>
      </c>
      <c r="AA72">
        <f t="shared" si="49"/>
        <v>0</v>
      </c>
      <c r="AB72">
        <f t="shared" si="50"/>
        <v>0</v>
      </c>
      <c r="AC72">
        <f t="shared" si="51"/>
        <v>0</v>
      </c>
      <c r="AD72">
        <f t="shared" si="52"/>
        <v>0</v>
      </c>
      <c r="AE72">
        <f t="shared" si="53"/>
        <v>0</v>
      </c>
      <c r="AF72">
        <f t="shared" si="54"/>
        <v>0</v>
      </c>
      <c r="AG72">
        <f t="shared" si="55"/>
        <v>0</v>
      </c>
      <c r="AH72">
        <f t="shared" si="56"/>
        <v>0</v>
      </c>
      <c r="AI72">
        <f t="shared" si="57"/>
        <v>0</v>
      </c>
      <c r="AJ72">
        <f t="shared" si="58"/>
        <v>0</v>
      </c>
      <c r="AK72">
        <f t="shared" si="59"/>
        <v>0</v>
      </c>
      <c r="AL72">
        <f t="shared" si="70"/>
        <v>0</v>
      </c>
      <c r="AM72">
        <f t="shared" si="71"/>
        <v>1</v>
      </c>
      <c r="AN72">
        <f t="shared" si="60"/>
        <v>0</v>
      </c>
      <c r="AO72">
        <f t="shared" si="61"/>
        <v>0</v>
      </c>
      <c r="AP72">
        <f t="shared" si="62"/>
        <v>0</v>
      </c>
      <c r="AQ72">
        <f t="shared" si="72"/>
        <v>0</v>
      </c>
      <c r="AR72">
        <f t="shared" si="73"/>
        <v>0</v>
      </c>
      <c r="AS72">
        <f t="shared" si="63"/>
        <v>0</v>
      </c>
      <c r="AT72">
        <f t="shared" si="64"/>
        <v>0</v>
      </c>
      <c r="AU72">
        <f t="shared" si="65"/>
        <v>0</v>
      </c>
      <c r="AV72">
        <f t="shared" si="66"/>
        <v>0</v>
      </c>
      <c r="AW72">
        <f t="shared" si="67"/>
        <v>0</v>
      </c>
      <c r="AX72">
        <f t="shared" si="68"/>
        <v>0</v>
      </c>
      <c r="AY72">
        <f t="shared" si="69"/>
        <v>0</v>
      </c>
      <c r="AZ72" t="s">
        <v>246</v>
      </c>
    </row>
    <row r="73" spans="1:52">
      <c r="A73">
        <v>72</v>
      </c>
      <c r="B73" s="14">
        <v>46178</v>
      </c>
      <c r="C73" t="s">
        <v>18</v>
      </c>
      <c r="D73" t="s">
        <v>8</v>
      </c>
      <c r="E73" t="s">
        <v>542</v>
      </c>
      <c r="F73" t="s">
        <v>13</v>
      </c>
      <c r="G73">
        <v>0</v>
      </c>
      <c r="H73">
        <v>2</v>
      </c>
      <c r="I73" t="s">
        <v>248</v>
      </c>
      <c r="J73" t="s">
        <v>248</v>
      </c>
      <c r="K73" t="s">
        <v>541</v>
      </c>
      <c r="L73" t="s">
        <v>191</v>
      </c>
      <c r="M73" t="s">
        <v>11</v>
      </c>
      <c r="N73" t="s">
        <v>190</v>
      </c>
      <c r="O73">
        <f t="shared" si="37"/>
        <v>1</v>
      </c>
      <c r="P73">
        <f t="shared" si="38"/>
        <v>1</v>
      </c>
      <c r="Q73">
        <f t="shared" si="39"/>
        <v>1</v>
      </c>
      <c r="R73">
        <f t="shared" si="40"/>
        <v>0</v>
      </c>
      <c r="S73">
        <f t="shared" si="41"/>
        <v>0</v>
      </c>
      <c r="T73">
        <f t="shared" si="42"/>
        <v>0</v>
      </c>
      <c r="U73">
        <f t="shared" si="43"/>
        <v>1</v>
      </c>
      <c r="V73">
        <f t="shared" si="44"/>
        <v>0</v>
      </c>
      <c r="W73">
        <f t="shared" si="45"/>
        <v>0</v>
      </c>
      <c r="X73">
        <f t="shared" si="46"/>
        <v>0</v>
      </c>
      <c r="Y73">
        <f t="shared" si="47"/>
        <v>0</v>
      </c>
      <c r="Z73">
        <f t="shared" si="48"/>
        <v>0</v>
      </c>
      <c r="AA73">
        <f t="shared" si="49"/>
        <v>0</v>
      </c>
      <c r="AB73">
        <f t="shared" si="50"/>
        <v>1</v>
      </c>
      <c r="AC73">
        <f t="shared" si="51"/>
        <v>0</v>
      </c>
      <c r="AD73">
        <f t="shared" si="52"/>
        <v>0</v>
      </c>
      <c r="AE73">
        <f t="shared" si="53"/>
        <v>0</v>
      </c>
      <c r="AF73">
        <f t="shared" si="54"/>
        <v>0</v>
      </c>
      <c r="AG73">
        <f t="shared" si="55"/>
        <v>0</v>
      </c>
      <c r="AH73">
        <f t="shared" si="56"/>
        <v>0</v>
      </c>
      <c r="AI73">
        <f t="shared" si="57"/>
        <v>0</v>
      </c>
      <c r="AJ73">
        <f t="shared" si="58"/>
        <v>0</v>
      </c>
      <c r="AK73">
        <f t="shared" si="59"/>
        <v>0</v>
      </c>
      <c r="AL73">
        <f t="shared" si="70"/>
        <v>0</v>
      </c>
      <c r="AM73">
        <f t="shared" si="71"/>
        <v>0</v>
      </c>
      <c r="AN73">
        <f t="shared" si="60"/>
        <v>0</v>
      </c>
      <c r="AO73">
        <f t="shared" si="61"/>
        <v>0</v>
      </c>
      <c r="AP73">
        <f t="shared" si="62"/>
        <v>0</v>
      </c>
      <c r="AQ73">
        <f t="shared" si="72"/>
        <v>0</v>
      </c>
      <c r="AR73">
        <f t="shared" si="73"/>
        <v>0</v>
      </c>
      <c r="AS73">
        <f t="shared" si="63"/>
        <v>0</v>
      </c>
      <c r="AT73">
        <f t="shared" si="64"/>
        <v>0</v>
      </c>
      <c r="AU73">
        <f t="shared" si="65"/>
        <v>0</v>
      </c>
      <c r="AV73">
        <f t="shared" si="66"/>
        <v>0</v>
      </c>
      <c r="AW73">
        <f t="shared" si="67"/>
        <v>0</v>
      </c>
      <c r="AX73">
        <f t="shared" si="68"/>
        <v>0</v>
      </c>
      <c r="AY73">
        <f t="shared" si="69"/>
        <v>0</v>
      </c>
      <c r="AZ73" t="s">
        <v>246</v>
      </c>
    </row>
    <row r="74" spans="1:52">
      <c r="A74">
        <v>73</v>
      </c>
      <c r="B74" s="14">
        <v>46178</v>
      </c>
      <c r="C74" t="s">
        <v>18</v>
      </c>
      <c r="D74" t="s">
        <v>2</v>
      </c>
      <c r="E74" t="s">
        <v>540</v>
      </c>
      <c r="F74" t="s">
        <v>3</v>
      </c>
      <c r="G74">
        <v>0</v>
      </c>
      <c r="H74">
        <v>2</v>
      </c>
      <c r="I74" t="s">
        <v>248</v>
      </c>
      <c r="J74" t="s">
        <v>248</v>
      </c>
      <c r="K74" t="s">
        <v>539</v>
      </c>
      <c r="L74" t="s">
        <v>191</v>
      </c>
      <c r="M74" t="s">
        <v>11</v>
      </c>
      <c r="N74" t="s">
        <v>206</v>
      </c>
      <c r="O74">
        <f t="shared" si="37"/>
        <v>1</v>
      </c>
      <c r="P74">
        <f t="shared" si="38"/>
        <v>0</v>
      </c>
      <c r="Q74">
        <f t="shared" si="39"/>
        <v>0</v>
      </c>
      <c r="R74">
        <f t="shared" si="40"/>
        <v>0</v>
      </c>
      <c r="S74">
        <f t="shared" si="41"/>
        <v>0</v>
      </c>
      <c r="T74">
        <f t="shared" si="42"/>
        <v>0</v>
      </c>
      <c r="U74">
        <f t="shared" si="43"/>
        <v>0</v>
      </c>
      <c r="V74">
        <f t="shared" si="44"/>
        <v>0</v>
      </c>
      <c r="W74">
        <f t="shared" si="45"/>
        <v>0</v>
      </c>
      <c r="X74">
        <f t="shared" si="46"/>
        <v>1</v>
      </c>
      <c r="Y74">
        <f t="shared" si="47"/>
        <v>0</v>
      </c>
      <c r="Z74">
        <f t="shared" si="48"/>
        <v>0</v>
      </c>
      <c r="AA74">
        <f t="shared" si="49"/>
        <v>0</v>
      </c>
      <c r="AB74">
        <f t="shared" si="50"/>
        <v>0</v>
      </c>
      <c r="AC74">
        <f t="shared" si="51"/>
        <v>0</v>
      </c>
      <c r="AD74">
        <f t="shared" si="52"/>
        <v>0</v>
      </c>
      <c r="AE74">
        <f t="shared" si="53"/>
        <v>0</v>
      </c>
      <c r="AF74">
        <f t="shared" si="54"/>
        <v>0</v>
      </c>
      <c r="AG74">
        <f t="shared" si="55"/>
        <v>0</v>
      </c>
      <c r="AH74">
        <f t="shared" si="56"/>
        <v>0</v>
      </c>
      <c r="AI74">
        <f t="shared" si="57"/>
        <v>0</v>
      </c>
      <c r="AJ74">
        <f t="shared" si="58"/>
        <v>0</v>
      </c>
      <c r="AK74">
        <f t="shared" si="59"/>
        <v>0</v>
      </c>
      <c r="AL74">
        <f t="shared" si="70"/>
        <v>0</v>
      </c>
      <c r="AM74">
        <f t="shared" si="71"/>
        <v>0</v>
      </c>
      <c r="AN74">
        <f t="shared" si="60"/>
        <v>0</v>
      </c>
      <c r="AO74">
        <f t="shared" si="61"/>
        <v>0</v>
      </c>
      <c r="AP74">
        <f t="shared" si="62"/>
        <v>0</v>
      </c>
      <c r="AQ74">
        <f t="shared" si="72"/>
        <v>0</v>
      </c>
      <c r="AR74">
        <f t="shared" si="73"/>
        <v>0</v>
      </c>
      <c r="AS74">
        <f t="shared" si="63"/>
        <v>0</v>
      </c>
      <c r="AT74">
        <f t="shared" si="64"/>
        <v>0</v>
      </c>
      <c r="AU74">
        <f t="shared" si="65"/>
        <v>0</v>
      </c>
      <c r="AV74">
        <f t="shared" si="66"/>
        <v>0</v>
      </c>
      <c r="AW74">
        <f t="shared" si="67"/>
        <v>0</v>
      </c>
      <c r="AX74">
        <f t="shared" si="68"/>
        <v>0</v>
      </c>
      <c r="AY74">
        <f t="shared" si="69"/>
        <v>0</v>
      </c>
      <c r="AZ74" t="s">
        <v>246</v>
      </c>
    </row>
    <row r="75" spans="1:52">
      <c r="A75">
        <v>74</v>
      </c>
      <c r="B75" s="14">
        <v>46178</v>
      </c>
      <c r="C75" t="s">
        <v>18</v>
      </c>
      <c r="D75" t="s">
        <v>4</v>
      </c>
      <c r="E75" t="s">
        <v>538</v>
      </c>
      <c r="F75" t="s">
        <v>5</v>
      </c>
      <c r="G75">
        <v>0</v>
      </c>
      <c r="H75">
        <v>5</v>
      </c>
      <c r="I75" t="s">
        <v>248</v>
      </c>
      <c r="J75" t="s">
        <v>248</v>
      </c>
      <c r="K75" t="s">
        <v>537</v>
      </c>
      <c r="L75" t="s">
        <v>536</v>
      </c>
      <c r="M75" t="s">
        <v>11</v>
      </c>
      <c r="N75" t="s">
        <v>190</v>
      </c>
      <c r="O75">
        <f t="shared" si="37"/>
        <v>0</v>
      </c>
      <c r="P75">
        <f t="shared" si="38"/>
        <v>0</v>
      </c>
      <c r="Q75">
        <f t="shared" si="39"/>
        <v>0</v>
      </c>
      <c r="R75">
        <f t="shared" si="40"/>
        <v>0</v>
      </c>
      <c r="S75">
        <f t="shared" si="41"/>
        <v>1</v>
      </c>
      <c r="T75">
        <f t="shared" si="42"/>
        <v>0</v>
      </c>
      <c r="U75">
        <f t="shared" si="43"/>
        <v>0</v>
      </c>
      <c r="V75">
        <f t="shared" si="44"/>
        <v>0</v>
      </c>
      <c r="W75">
        <f t="shared" si="45"/>
        <v>0</v>
      </c>
      <c r="X75">
        <f t="shared" si="46"/>
        <v>0</v>
      </c>
      <c r="Y75">
        <f t="shared" si="47"/>
        <v>0</v>
      </c>
      <c r="Z75">
        <f t="shared" si="48"/>
        <v>0</v>
      </c>
      <c r="AA75">
        <f t="shared" si="49"/>
        <v>0</v>
      </c>
      <c r="AB75">
        <f t="shared" si="50"/>
        <v>0</v>
      </c>
      <c r="AC75">
        <f t="shared" si="51"/>
        <v>0</v>
      </c>
      <c r="AD75">
        <f t="shared" si="52"/>
        <v>0</v>
      </c>
      <c r="AE75">
        <f t="shared" si="53"/>
        <v>0</v>
      </c>
      <c r="AF75">
        <f t="shared" si="54"/>
        <v>0</v>
      </c>
      <c r="AG75">
        <f t="shared" si="55"/>
        <v>0</v>
      </c>
      <c r="AH75">
        <f t="shared" si="56"/>
        <v>0</v>
      </c>
      <c r="AI75">
        <f t="shared" si="57"/>
        <v>1</v>
      </c>
      <c r="AJ75">
        <f t="shared" si="58"/>
        <v>0</v>
      </c>
      <c r="AK75">
        <f t="shared" si="59"/>
        <v>0</v>
      </c>
      <c r="AL75">
        <f t="shared" si="70"/>
        <v>0</v>
      </c>
      <c r="AM75">
        <f t="shared" si="71"/>
        <v>0</v>
      </c>
      <c r="AN75">
        <f t="shared" si="60"/>
        <v>0</v>
      </c>
      <c r="AO75">
        <f t="shared" si="61"/>
        <v>0</v>
      </c>
      <c r="AP75">
        <f t="shared" si="62"/>
        <v>0</v>
      </c>
      <c r="AQ75">
        <f t="shared" si="72"/>
        <v>0</v>
      </c>
      <c r="AR75">
        <f t="shared" si="73"/>
        <v>0</v>
      </c>
      <c r="AS75">
        <f t="shared" si="63"/>
        <v>0</v>
      </c>
      <c r="AT75">
        <f t="shared" si="64"/>
        <v>0</v>
      </c>
      <c r="AU75">
        <f t="shared" si="65"/>
        <v>0</v>
      </c>
      <c r="AV75">
        <f t="shared" si="66"/>
        <v>0</v>
      </c>
      <c r="AW75">
        <f t="shared" si="67"/>
        <v>0</v>
      </c>
      <c r="AX75">
        <f t="shared" si="68"/>
        <v>0</v>
      </c>
      <c r="AY75">
        <f t="shared" si="69"/>
        <v>0</v>
      </c>
      <c r="AZ75" t="s">
        <v>246</v>
      </c>
    </row>
    <row r="76" spans="1:52">
      <c r="A76">
        <v>75</v>
      </c>
      <c r="B76" s="14">
        <v>46178</v>
      </c>
      <c r="C76" t="s">
        <v>18</v>
      </c>
      <c r="D76" t="s">
        <v>2</v>
      </c>
      <c r="E76" t="s">
        <v>535</v>
      </c>
      <c r="F76" t="s">
        <v>6</v>
      </c>
      <c r="G76">
        <v>0</v>
      </c>
      <c r="H76">
        <v>5</v>
      </c>
      <c r="I76" t="s">
        <v>248</v>
      </c>
      <c r="J76" t="s">
        <v>248</v>
      </c>
      <c r="K76" t="s">
        <v>534</v>
      </c>
      <c r="L76" t="s">
        <v>191</v>
      </c>
      <c r="M76" t="s">
        <v>11</v>
      </c>
      <c r="N76" t="s">
        <v>190</v>
      </c>
      <c r="O76">
        <f t="shared" si="37"/>
        <v>0</v>
      </c>
      <c r="P76">
        <f t="shared" si="38"/>
        <v>0</v>
      </c>
      <c r="Q76">
        <f t="shared" si="39"/>
        <v>0</v>
      </c>
      <c r="R76">
        <f t="shared" si="40"/>
        <v>0</v>
      </c>
      <c r="S76">
        <f t="shared" si="41"/>
        <v>0</v>
      </c>
      <c r="T76">
        <f t="shared" si="42"/>
        <v>0</v>
      </c>
      <c r="U76">
        <f t="shared" si="43"/>
        <v>0</v>
      </c>
      <c r="V76">
        <f t="shared" si="44"/>
        <v>0</v>
      </c>
      <c r="W76">
        <f t="shared" si="45"/>
        <v>0</v>
      </c>
      <c r="X76">
        <f t="shared" si="46"/>
        <v>0</v>
      </c>
      <c r="Y76">
        <f t="shared" si="47"/>
        <v>0</v>
      </c>
      <c r="Z76">
        <f t="shared" si="48"/>
        <v>0</v>
      </c>
      <c r="AA76">
        <f t="shared" si="49"/>
        <v>0</v>
      </c>
      <c r="AB76">
        <f t="shared" si="50"/>
        <v>0</v>
      </c>
      <c r="AC76">
        <f t="shared" si="51"/>
        <v>0</v>
      </c>
      <c r="AD76">
        <f t="shared" si="52"/>
        <v>0</v>
      </c>
      <c r="AE76">
        <f t="shared" si="53"/>
        <v>0</v>
      </c>
      <c r="AF76">
        <f t="shared" si="54"/>
        <v>0</v>
      </c>
      <c r="AG76">
        <f t="shared" si="55"/>
        <v>0</v>
      </c>
      <c r="AH76">
        <f t="shared" si="56"/>
        <v>0</v>
      </c>
      <c r="AI76">
        <f t="shared" si="57"/>
        <v>0</v>
      </c>
      <c r="AJ76">
        <f t="shared" si="58"/>
        <v>0</v>
      </c>
      <c r="AK76">
        <f t="shared" si="59"/>
        <v>0</v>
      </c>
      <c r="AL76">
        <f t="shared" si="70"/>
        <v>0</v>
      </c>
      <c r="AM76">
        <f t="shared" si="71"/>
        <v>0</v>
      </c>
      <c r="AN76">
        <f t="shared" si="60"/>
        <v>0</v>
      </c>
      <c r="AO76">
        <f t="shared" si="61"/>
        <v>0</v>
      </c>
      <c r="AP76">
        <f t="shared" si="62"/>
        <v>0</v>
      </c>
      <c r="AQ76">
        <f t="shared" si="72"/>
        <v>0</v>
      </c>
      <c r="AR76">
        <f t="shared" si="73"/>
        <v>0</v>
      </c>
      <c r="AS76">
        <f t="shared" si="63"/>
        <v>0</v>
      </c>
      <c r="AT76">
        <f t="shared" si="64"/>
        <v>0</v>
      </c>
      <c r="AU76">
        <f t="shared" si="65"/>
        <v>0</v>
      </c>
      <c r="AV76">
        <f t="shared" si="66"/>
        <v>0</v>
      </c>
      <c r="AW76">
        <f t="shared" si="67"/>
        <v>0</v>
      </c>
      <c r="AX76">
        <f t="shared" si="68"/>
        <v>0</v>
      </c>
      <c r="AY76">
        <f t="shared" si="69"/>
        <v>0</v>
      </c>
      <c r="AZ76" t="s">
        <v>246</v>
      </c>
    </row>
    <row r="77" spans="1:52">
      <c r="A77">
        <v>76</v>
      </c>
      <c r="B77" s="14">
        <v>46178</v>
      </c>
      <c r="C77" t="s">
        <v>18</v>
      </c>
      <c r="D77" t="s">
        <v>7</v>
      </c>
      <c r="E77" s="2" t="s">
        <v>533</v>
      </c>
      <c r="F77" t="s">
        <v>3</v>
      </c>
      <c r="G77">
        <v>0</v>
      </c>
      <c r="H77">
        <v>2</v>
      </c>
      <c r="I77">
        <v>4</v>
      </c>
      <c r="J77">
        <v>4.5</v>
      </c>
      <c r="K77" t="s">
        <v>532</v>
      </c>
      <c r="L77" t="s">
        <v>191</v>
      </c>
      <c r="M77" t="s">
        <v>20</v>
      </c>
      <c r="N77" t="s">
        <v>190</v>
      </c>
      <c r="O77">
        <f t="shared" si="37"/>
        <v>1</v>
      </c>
      <c r="P77">
        <f t="shared" si="38"/>
        <v>0</v>
      </c>
      <c r="Q77">
        <f t="shared" si="39"/>
        <v>1</v>
      </c>
      <c r="R77">
        <f t="shared" si="40"/>
        <v>0</v>
      </c>
      <c r="S77">
        <f t="shared" si="41"/>
        <v>0</v>
      </c>
      <c r="T77">
        <f t="shared" si="42"/>
        <v>0</v>
      </c>
      <c r="U77">
        <f t="shared" si="43"/>
        <v>0</v>
      </c>
      <c r="V77">
        <f t="shared" si="44"/>
        <v>0</v>
      </c>
      <c r="W77">
        <f t="shared" si="45"/>
        <v>0</v>
      </c>
      <c r="X77">
        <f t="shared" si="46"/>
        <v>0</v>
      </c>
      <c r="Y77">
        <f t="shared" si="47"/>
        <v>0</v>
      </c>
      <c r="Z77">
        <f t="shared" si="48"/>
        <v>0</v>
      </c>
      <c r="AA77">
        <f t="shared" si="49"/>
        <v>0</v>
      </c>
      <c r="AB77">
        <f t="shared" si="50"/>
        <v>0</v>
      </c>
      <c r="AC77">
        <f t="shared" si="51"/>
        <v>0</v>
      </c>
      <c r="AD77">
        <f t="shared" si="52"/>
        <v>0</v>
      </c>
      <c r="AE77">
        <f t="shared" si="53"/>
        <v>0</v>
      </c>
      <c r="AF77">
        <f t="shared" si="54"/>
        <v>0</v>
      </c>
      <c r="AG77">
        <f t="shared" si="55"/>
        <v>0</v>
      </c>
      <c r="AH77">
        <f t="shared" si="56"/>
        <v>0</v>
      </c>
      <c r="AI77">
        <f t="shared" si="57"/>
        <v>0</v>
      </c>
      <c r="AJ77">
        <f t="shared" si="58"/>
        <v>0</v>
      </c>
      <c r="AK77">
        <f t="shared" si="59"/>
        <v>0</v>
      </c>
      <c r="AL77">
        <f t="shared" si="70"/>
        <v>0</v>
      </c>
      <c r="AM77">
        <f t="shared" si="71"/>
        <v>0</v>
      </c>
      <c r="AN77">
        <f t="shared" si="60"/>
        <v>0</v>
      </c>
      <c r="AO77">
        <f t="shared" si="61"/>
        <v>0</v>
      </c>
      <c r="AP77">
        <f t="shared" si="62"/>
        <v>0</v>
      </c>
      <c r="AQ77">
        <f t="shared" si="72"/>
        <v>0</v>
      </c>
      <c r="AR77">
        <f t="shared" si="73"/>
        <v>0</v>
      </c>
      <c r="AS77">
        <f t="shared" si="63"/>
        <v>0</v>
      </c>
      <c r="AT77">
        <f t="shared" si="64"/>
        <v>0</v>
      </c>
      <c r="AU77">
        <f t="shared" si="65"/>
        <v>0</v>
      </c>
      <c r="AV77">
        <f t="shared" si="66"/>
        <v>0</v>
      </c>
      <c r="AW77">
        <f t="shared" si="67"/>
        <v>0</v>
      </c>
      <c r="AX77">
        <f t="shared" si="68"/>
        <v>0</v>
      </c>
      <c r="AY77">
        <f t="shared" si="69"/>
        <v>0</v>
      </c>
      <c r="AZ77" t="s">
        <v>246</v>
      </c>
    </row>
    <row r="78" spans="1:52">
      <c r="A78">
        <v>77</v>
      </c>
      <c r="B78" s="14">
        <v>46179</v>
      </c>
      <c r="C78" t="s">
        <v>18</v>
      </c>
      <c r="D78" t="s">
        <v>2</v>
      </c>
      <c r="E78" t="s">
        <v>531</v>
      </c>
      <c r="F78" t="s">
        <v>14</v>
      </c>
      <c r="G78">
        <v>0</v>
      </c>
      <c r="H78">
        <v>1</v>
      </c>
      <c r="I78" t="s">
        <v>248</v>
      </c>
      <c r="J78" t="s">
        <v>248</v>
      </c>
      <c r="K78" t="s">
        <v>530</v>
      </c>
      <c r="L78" t="s">
        <v>529</v>
      </c>
      <c r="M78" t="s">
        <v>11</v>
      </c>
      <c r="N78" t="s">
        <v>190</v>
      </c>
      <c r="O78">
        <f t="shared" si="37"/>
        <v>1</v>
      </c>
      <c r="P78">
        <f t="shared" si="38"/>
        <v>1</v>
      </c>
      <c r="Q78">
        <f t="shared" si="39"/>
        <v>0</v>
      </c>
      <c r="R78">
        <f t="shared" si="40"/>
        <v>0</v>
      </c>
      <c r="S78">
        <f t="shared" si="41"/>
        <v>1</v>
      </c>
      <c r="T78">
        <f t="shared" si="42"/>
        <v>0</v>
      </c>
      <c r="U78">
        <f t="shared" si="43"/>
        <v>0</v>
      </c>
      <c r="V78">
        <f t="shared" si="44"/>
        <v>0</v>
      </c>
      <c r="W78">
        <f t="shared" si="45"/>
        <v>0</v>
      </c>
      <c r="X78">
        <f t="shared" si="46"/>
        <v>0</v>
      </c>
      <c r="Y78">
        <f t="shared" si="47"/>
        <v>0</v>
      </c>
      <c r="Z78">
        <f t="shared" si="48"/>
        <v>0</v>
      </c>
      <c r="AA78">
        <f t="shared" si="49"/>
        <v>0</v>
      </c>
      <c r="AB78">
        <f t="shared" si="50"/>
        <v>0</v>
      </c>
      <c r="AC78">
        <f t="shared" si="51"/>
        <v>0</v>
      </c>
      <c r="AD78">
        <f t="shared" si="52"/>
        <v>0</v>
      </c>
      <c r="AE78">
        <f t="shared" si="53"/>
        <v>0</v>
      </c>
      <c r="AF78">
        <f t="shared" si="54"/>
        <v>0</v>
      </c>
      <c r="AG78">
        <f t="shared" si="55"/>
        <v>0</v>
      </c>
      <c r="AH78">
        <f t="shared" si="56"/>
        <v>0</v>
      </c>
      <c r="AI78">
        <f t="shared" si="57"/>
        <v>0</v>
      </c>
      <c r="AJ78">
        <f t="shared" si="58"/>
        <v>0</v>
      </c>
      <c r="AK78">
        <f t="shared" si="59"/>
        <v>0</v>
      </c>
      <c r="AL78">
        <f t="shared" si="70"/>
        <v>0</v>
      </c>
      <c r="AM78">
        <f t="shared" si="71"/>
        <v>0</v>
      </c>
      <c r="AN78">
        <f t="shared" si="60"/>
        <v>0</v>
      </c>
      <c r="AO78">
        <f t="shared" si="61"/>
        <v>0</v>
      </c>
      <c r="AP78">
        <f t="shared" si="62"/>
        <v>0</v>
      </c>
      <c r="AQ78">
        <f t="shared" si="72"/>
        <v>0</v>
      </c>
      <c r="AR78">
        <f t="shared" si="73"/>
        <v>0</v>
      </c>
      <c r="AS78">
        <f t="shared" si="63"/>
        <v>0</v>
      </c>
      <c r="AT78">
        <f t="shared" si="64"/>
        <v>0</v>
      </c>
      <c r="AU78">
        <f t="shared" si="65"/>
        <v>0</v>
      </c>
      <c r="AV78">
        <f t="shared" si="66"/>
        <v>0</v>
      </c>
      <c r="AW78">
        <f t="shared" si="67"/>
        <v>0</v>
      </c>
      <c r="AX78">
        <f t="shared" si="68"/>
        <v>0</v>
      </c>
      <c r="AY78">
        <f t="shared" si="69"/>
        <v>0</v>
      </c>
      <c r="AZ78" t="s">
        <v>246</v>
      </c>
    </row>
    <row r="79" spans="1:52">
      <c r="A79">
        <v>78</v>
      </c>
      <c r="B79" s="14">
        <v>46179</v>
      </c>
      <c r="C79" t="s">
        <v>18</v>
      </c>
      <c r="D79" t="s">
        <v>2</v>
      </c>
      <c r="E79" t="s">
        <v>528</v>
      </c>
      <c r="F79" t="s">
        <v>17</v>
      </c>
      <c r="G79">
        <v>0</v>
      </c>
      <c r="H79">
        <v>4</v>
      </c>
      <c r="I79">
        <v>3</v>
      </c>
      <c r="J79">
        <v>4</v>
      </c>
      <c r="K79" t="s">
        <v>527</v>
      </c>
      <c r="L79" t="s">
        <v>526</v>
      </c>
      <c r="M79" t="s">
        <v>11</v>
      </c>
      <c r="N79" t="s">
        <v>190</v>
      </c>
      <c r="O79">
        <f t="shared" si="37"/>
        <v>1</v>
      </c>
      <c r="P79">
        <f t="shared" si="38"/>
        <v>1</v>
      </c>
      <c r="Q79">
        <f t="shared" si="39"/>
        <v>1</v>
      </c>
      <c r="R79">
        <f t="shared" si="40"/>
        <v>0</v>
      </c>
      <c r="S79">
        <f t="shared" si="41"/>
        <v>1</v>
      </c>
      <c r="T79">
        <f t="shared" si="42"/>
        <v>0</v>
      </c>
      <c r="U79">
        <f t="shared" si="43"/>
        <v>0</v>
      </c>
      <c r="V79">
        <f t="shared" si="44"/>
        <v>0</v>
      </c>
      <c r="W79">
        <f t="shared" si="45"/>
        <v>0</v>
      </c>
      <c r="X79">
        <f t="shared" si="46"/>
        <v>0</v>
      </c>
      <c r="Y79">
        <f t="shared" si="47"/>
        <v>0</v>
      </c>
      <c r="Z79">
        <f t="shared" si="48"/>
        <v>0</v>
      </c>
      <c r="AA79">
        <f t="shared" si="49"/>
        <v>0</v>
      </c>
      <c r="AB79">
        <f t="shared" si="50"/>
        <v>0</v>
      </c>
      <c r="AC79">
        <f t="shared" si="51"/>
        <v>0</v>
      </c>
      <c r="AD79">
        <f t="shared" si="52"/>
        <v>0</v>
      </c>
      <c r="AE79">
        <f t="shared" si="53"/>
        <v>0</v>
      </c>
      <c r="AF79">
        <f t="shared" si="54"/>
        <v>0</v>
      </c>
      <c r="AG79">
        <f t="shared" si="55"/>
        <v>0</v>
      </c>
      <c r="AH79">
        <f t="shared" si="56"/>
        <v>0</v>
      </c>
      <c r="AI79">
        <f t="shared" si="57"/>
        <v>0</v>
      </c>
      <c r="AJ79">
        <f t="shared" si="58"/>
        <v>0</v>
      </c>
      <c r="AK79">
        <f t="shared" si="59"/>
        <v>0</v>
      </c>
      <c r="AL79">
        <f t="shared" si="70"/>
        <v>0</v>
      </c>
      <c r="AM79">
        <f t="shared" si="71"/>
        <v>0</v>
      </c>
      <c r="AN79">
        <f t="shared" si="60"/>
        <v>0</v>
      </c>
      <c r="AO79">
        <f t="shared" si="61"/>
        <v>0</v>
      </c>
      <c r="AP79">
        <f t="shared" si="62"/>
        <v>0</v>
      </c>
      <c r="AQ79">
        <f t="shared" si="72"/>
        <v>0</v>
      </c>
      <c r="AR79">
        <f t="shared" si="73"/>
        <v>0</v>
      </c>
      <c r="AS79">
        <f t="shared" si="63"/>
        <v>0</v>
      </c>
      <c r="AT79">
        <f t="shared" si="64"/>
        <v>0</v>
      </c>
      <c r="AU79">
        <f t="shared" si="65"/>
        <v>0</v>
      </c>
      <c r="AV79">
        <f t="shared" si="66"/>
        <v>0</v>
      </c>
      <c r="AW79">
        <f t="shared" si="67"/>
        <v>0</v>
      </c>
      <c r="AX79">
        <f t="shared" si="68"/>
        <v>0</v>
      </c>
      <c r="AY79">
        <f t="shared" si="69"/>
        <v>0</v>
      </c>
      <c r="AZ79" t="s">
        <v>246</v>
      </c>
    </row>
    <row r="80" spans="1:52" ht="28.8">
      <c r="A80">
        <v>79</v>
      </c>
      <c r="B80" s="14">
        <v>46179</v>
      </c>
      <c r="C80" t="s">
        <v>18</v>
      </c>
      <c r="D80" t="s">
        <v>9</v>
      </c>
      <c r="E80" s="2" t="s">
        <v>525</v>
      </c>
      <c r="F80" t="s">
        <v>3</v>
      </c>
      <c r="G80">
        <v>0</v>
      </c>
      <c r="H80">
        <v>4</v>
      </c>
      <c r="I80" t="s">
        <v>248</v>
      </c>
      <c r="J80" t="s">
        <v>248</v>
      </c>
      <c r="K80" t="s">
        <v>524</v>
      </c>
      <c r="L80" t="s">
        <v>191</v>
      </c>
      <c r="M80" t="s">
        <v>11</v>
      </c>
      <c r="N80" t="s">
        <v>190</v>
      </c>
      <c r="O80">
        <f t="shared" si="37"/>
        <v>1</v>
      </c>
      <c r="P80">
        <f t="shared" si="38"/>
        <v>0</v>
      </c>
      <c r="Q80">
        <f t="shared" si="39"/>
        <v>1</v>
      </c>
      <c r="R80">
        <f t="shared" si="40"/>
        <v>0</v>
      </c>
      <c r="S80">
        <f t="shared" si="41"/>
        <v>0</v>
      </c>
      <c r="T80">
        <f t="shared" si="42"/>
        <v>0</v>
      </c>
      <c r="U80">
        <f t="shared" si="43"/>
        <v>0</v>
      </c>
      <c r="V80">
        <f t="shared" si="44"/>
        <v>0</v>
      </c>
      <c r="W80">
        <f t="shared" si="45"/>
        <v>0</v>
      </c>
      <c r="X80">
        <f t="shared" si="46"/>
        <v>0</v>
      </c>
      <c r="Y80">
        <f t="shared" si="47"/>
        <v>0</v>
      </c>
      <c r="Z80">
        <f t="shared" si="48"/>
        <v>0</v>
      </c>
      <c r="AA80">
        <f t="shared" si="49"/>
        <v>0</v>
      </c>
      <c r="AB80">
        <f t="shared" si="50"/>
        <v>0</v>
      </c>
      <c r="AC80">
        <f t="shared" si="51"/>
        <v>1</v>
      </c>
      <c r="AD80">
        <f t="shared" si="52"/>
        <v>0</v>
      </c>
      <c r="AE80">
        <f t="shared" si="53"/>
        <v>0</v>
      </c>
      <c r="AF80">
        <f t="shared" si="54"/>
        <v>0</v>
      </c>
      <c r="AG80">
        <f t="shared" si="55"/>
        <v>0</v>
      </c>
      <c r="AH80">
        <f t="shared" si="56"/>
        <v>0</v>
      </c>
      <c r="AI80">
        <f t="shared" si="57"/>
        <v>0</v>
      </c>
      <c r="AJ80">
        <f t="shared" si="58"/>
        <v>0</v>
      </c>
      <c r="AK80">
        <f t="shared" si="59"/>
        <v>0</v>
      </c>
      <c r="AL80">
        <f t="shared" si="70"/>
        <v>0</v>
      </c>
      <c r="AM80">
        <f t="shared" si="71"/>
        <v>0</v>
      </c>
      <c r="AN80">
        <f t="shared" si="60"/>
        <v>0</v>
      </c>
      <c r="AO80">
        <f t="shared" si="61"/>
        <v>0</v>
      </c>
      <c r="AP80">
        <f t="shared" si="62"/>
        <v>0</v>
      </c>
      <c r="AQ80">
        <f t="shared" si="72"/>
        <v>0</v>
      </c>
      <c r="AR80">
        <f t="shared" si="73"/>
        <v>0</v>
      </c>
      <c r="AS80">
        <f t="shared" si="63"/>
        <v>0</v>
      </c>
      <c r="AT80">
        <f t="shared" si="64"/>
        <v>0</v>
      </c>
      <c r="AU80">
        <f t="shared" si="65"/>
        <v>0</v>
      </c>
      <c r="AV80">
        <f t="shared" si="66"/>
        <v>0</v>
      </c>
      <c r="AW80">
        <f t="shared" si="67"/>
        <v>0</v>
      </c>
      <c r="AX80">
        <f t="shared" si="68"/>
        <v>0</v>
      </c>
      <c r="AY80">
        <f t="shared" si="69"/>
        <v>0</v>
      </c>
      <c r="AZ80" t="s">
        <v>246</v>
      </c>
    </row>
    <row r="81" spans="1:52">
      <c r="A81">
        <v>80</v>
      </c>
      <c r="B81" s="14">
        <v>46179</v>
      </c>
      <c r="C81" t="s">
        <v>18</v>
      </c>
      <c r="D81" t="s">
        <v>8</v>
      </c>
      <c r="E81" t="s">
        <v>523</v>
      </c>
      <c r="F81" t="s">
        <v>5</v>
      </c>
      <c r="G81">
        <v>0</v>
      </c>
      <c r="H81">
        <v>3</v>
      </c>
      <c r="I81" t="s">
        <v>248</v>
      </c>
      <c r="J81" t="s">
        <v>248</v>
      </c>
      <c r="K81" t="s">
        <v>522</v>
      </c>
      <c r="L81" t="s">
        <v>191</v>
      </c>
      <c r="M81" t="s">
        <v>11</v>
      </c>
      <c r="N81" t="s">
        <v>198</v>
      </c>
      <c r="O81">
        <f t="shared" si="37"/>
        <v>1</v>
      </c>
      <c r="P81">
        <f t="shared" si="38"/>
        <v>1</v>
      </c>
      <c r="Q81">
        <f t="shared" si="39"/>
        <v>0</v>
      </c>
      <c r="R81">
        <f t="shared" si="40"/>
        <v>0</v>
      </c>
      <c r="S81">
        <f t="shared" si="41"/>
        <v>0</v>
      </c>
      <c r="T81">
        <f t="shared" si="42"/>
        <v>0</v>
      </c>
      <c r="U81">
        <f t="shared" si="43"/>
        <v>0</v>
      </c>
      <c r="V81">
        <f t="shared" si="44"/>
        <v>0</v>
      </c>
      <c r="W81">
        <f t="shared" si="45"/>
        <v>0</v>
      </c>
      <c r="X81">
        <f t="shared" si="46"/>
        <v>0</v>
      </c>
      <c r="Y81">
        <f t="shared" si="47"/>
        <v>0</v>
      </c>
      <c r="Z81">
        <f t="shared" si="48"/>
        <v>0</v>
      </c>
      <c r="AA81">
        <f t="shared" si="49"/>
        <v>1</v>
      </c>
      <c r="AB81">
        <f t="shared" si="50"/>
        <v>0</v>
      </c>
      <c r="AC81">
        <f t="shared" si="51"/>
        <v>1</v>
      </c>
      <c r="AD81">
        <f t="shared" si="52"/>
        <v>0</v>
      </c>
      <c r="AE81">
        <f t="shared" si="53"/>
        <v>0</v>
      </c>
      <c r="AF81">
        <f t="shared" si="54"/>
        <v>0</v>
      </c>
      <c r="AG81">
        <f t="shared" si="55"/>
        <v>0</v>
      </c>
      <c r="AH81">
        <f t="shared" si="56"/>
        <v>1</v>
      </c>
      <c r="AI81">
        <f t="shared" si="57"/>
        <v>0</v>
      </c>
      <c r="AJ81">
        <f t="shared" si="58"/>
        <v>0</v>
      </c>
      <c r="AK81">
        <f t="shared" si="59"/>
        <v>0</v>
      </c>
      <c r="AL81">
        <f t="shared" si="70"/>
        <v>0</v>
      </c>
      <c r="AM81">
        <f t="shared" si="71"/>
        <v>0</v>
      </c>
      <c r="AN81">
        <f t="shared" si="60"/>
        <v>0</v>
      </c>
      <c r="AO81">
        <f t="shared" si="61"/>
        <v>0</v>
      </c>
      <c r="AP81">
        <f t="shared" si="62"/>
        <v>0</v>
      </c>
      <c r="AQ81">
        <f t="shared" si="72"/>
        <v>0</v>
      </c>
      <c r="AR81">
        <f t="shared" si="73"/>
        <v>0</v>
      </c>
      <c r="AS81">
        <f t="shared" si="63"/>
        <v>0</v>
      </c>
      <c r="AT81">
        <f t="shared" si="64"/>
        <v>0</v>
      </c>
      <c r="AU81">
        <f t="shared" si="65"/>
        <v>0</v>
      </c>
      <c r="AV81">
        <f t="shared" si="66"/>
        <v>0</v>
      </c>
      <c r="AW81">
        <f t="shared" si="67"/>
        <v>0</v>
      </c>
      <c r="AX81">
        <f t="shared" si="68"/>
        <v>0</v>
      </c>
      <c r="AY81">
        <f t="shared" si="69"/>
        <v>0</v>
      </c>
      <c r="AZ81" t="s">
        <v>246</v>
      </c>
    </row>
    <row r="82" spans="1:52">
      <c r="A82">
        <v>81</v>
      </c>
      <c r="B82" s="14">
        <v>46179</v>
      </c>
      <c r="C82" t="s">
        <v>18</v>
      </c>
      <c r="D82" t="s">
        <v>8</v>
      </c>
      <c r="E82" t="s">
        <v>521</v>
      </c>
      <c r="F82" t="s">
        <v>13</v>
      </c>
      <c r="G82">
        <v>0</v>
      </c>
      <c r="H82">
        <v>2</v>
      </c>
      <c r="I82" t="s">
        <v>248</v>
      </c>
      <c r="J82" t="s">
        <v>248</v>
      </c>
      <c r="K82" t="s">
        <v>520</v>
      </c>
      <c r="L82" t="s">
        <v>191</v>
      </c>
      <c r="M82" t="s">
        <v>11</v>
      </c>
      <c r="N82" t="s">
        <v>198</v>
      </c>
      <c r="O82">
        <f t="shared" si="37"/>
        <v>1</v>
      </c>
      <c r="P82">
        <f t="shared" si="38"/>
        <v>1</v>
      </c>
      <c r="Q82">
        <f t="shared" si="39"/>
        <v>0</v>
      </c>
      <c r="R82">
        <f t="shared" si="40"/>
        <v>0</v>
      </c>
      <c r="S82">
        <f t="shared" si="41"/>
        <v>0</v>
      </c>
      <c r="T82">
        <f t="shared" si="42"/>
        <v>0</v>
      </c>
      <c r="U82">
        <f t="shared" si="43"/>
        <v>1</v>
      </c>
      <c r="V82">
        <f t="shared" si="44"/>
        <v>0</v>
      </c>
      <c r="W82">
        <f t="shared" si="45"/>
        <v>0</v>
      </c>
      <c r="X82">
        <f t="shared" si="46"/>
        <v>0</v>
      </c>
      <c r="Y82">
        <f t="shared" si="47"/>
        <v>0</v>
      </c>
      <c r="Z82">
        <f t="shared" si="48"/>
        <v>0</v>
      </c>
      <c r="AA82">
        <f t="shared" si="49"/>
        <v>0</v>
      </c>
      <c r="AB82">
        <f t="shared" si="50"/>
        <v>1</v>
      </c>
      <c r="AC82">
        <f t="shared" si="51"/>
        <v>0</v>
      </c>
      <c r="AD82">
        <f t="shared" si="52"/>
        <v>0</v>
      </c>
      <c r="AE82">
        <f t="shared" si="53"/>
        <v>0</v>
      </c>
      <c r="AF82">
        <f t="shared" si="54"/>
        <v>0</v>
      </c>
      <c r="AG82">
        <f t="shared" si="55"/>
        <v>0</v>
      </c>
      <c r="AH82">
        <f t="shared" si="56"/>
        <v>0</v>
      </c>
      <c r="AI82">
        <f t="shared" si="57"/>
        <v>0</v>
      </c>
      <c r="AJ82">
        <f t="shared" si="58"/>
        <v>0</v>
      </c>
      <c r="AK82">
        <f t="shared" si="59"/>
        <v>0</v>
      </c>
      <c r="AL82">
        <f t="shared" si="70"/>
        <v>0</v>
      </c>
      <c r="AM82">
        <f t="shared" si="71"/>
        <v>0</v>
      </c>
      <c r="AN82">
        <f t="shared" si="60"/>
        <v>0</v>
      </c>
      <c r="AO82">
        <f t="shared" si="61"/>
        <v>0</v>
      </c>
      <c r="AP82">
        <f t="shared" si="62"/>
        <v>0</v>
      </c>
      <c r="AQ82">
        <f t="shared" si="72"/>
        <v>0</v>
      </c>
      <c r="AR82">
        <f t="shared" si="73"/>
        <v>0</v>
      </c>
      <c r="AS82">
        <f t="shared" si="63"/>
        <v>0</v>
      </c>
      <c r="AT82">
        <f t="shared" si="64"/>
        <v>0</v>
      </c>
      <c r="AU82">
        <f t="shared" si="65"/>
        <v>0</v>
      </c>
      <c r="AV82">
        <f t="shared" si="66"/>
        <v>0</v>
      </c>
      <c r="AW82">
        <f t="shared" si="67"/>
        <v>0</v>
      </c>
      <c r="AX82">
        <f t="shared" si="68"/>
        <v>0</v>
      </c>
      <c r="AY82">
        <f t="shared" si="69"/>
        <v>0</v>
      </c>
      <c r="AZ82" t="s">
        <v>246</v>
      </c>
    </row>
    <row r="83" spans="1:52">
      <c r="A83">
        <v>82</v>
      </c>
      <c r="B83" s="14">
        <v>46179</v>
      </c>
      <c r="C83" t="s">
        <v>18</v>
      </c>
      <c r="D83" t="s">
        <v>2</v>
      </c>
      <c r="E83" t="s">
        <v>519</v>
      </c>
      <c r="F83" t="s">
        <v>3</v>
      </c>
      <c r="G83">
        <v>0</v>
      </c>
      <c r="H83">
        <v>3</v>
      </c>
      <c r="I83">
        <v>3</v>
      </c>
      <c r="J83">
        <v>3.5</v>
      </c>
      <c r="K83" t="s">
        <v>518</v>
      </c>
      <c r="L83" t="s">
        <v>191</v>
      </c>
      <c r="M83" t="s">
        <v>11</v>
      </c>
      <c r="N83" t="s">
        <v>198</v>
      </c>
      <c r="O83">
        <f t="shared" si="37"/>
        <v>0</v>
      </c>
      <c r="P83">
        <f t="shared" si="38"/>
        <v>1</v>
      </c>
      <c r="Q83">
        <f t="shared" si="39"/>
        <v>0</v>
      </c>
      <c r="R83">
        <f t="shared" si="40"/>
        <v>0</v>
      </c>
      <c r="S83">
        <f t="shared" si="41"/>
        <v>1</v>
      </c>
      <c r="T83">
        <f t="shared" si="42"/>
        <v>0</v>
      </c>
      <c r="U83">
        <f t="shared" si="43"/>
        <v>0</v>
      </c>
      <c r="V83">
        <f t="shared" si="44"/>
        <v>0</v>
      </c>
      <c r="W83">
        <f t="shared" si="45"/>
        <v>0</v>
      </c>
      <c r="X83">
        <f t="shared" si="46"/>
        <v>0</v>
      </c>
      <c r="Y83">
        <f t="shared" si="47"/>
        <v>0</v>
      </c>
      <c r="Z83">
        <f t="shared" si="48"/>
        <v>0</v>
      </c>
      <c r="AA83">
        <f t="shared" si="49"/>
        <v>0</v>
      </c>
      <c r="AB83">
        <f t="shared" si="50"/>
        <v>0</v>
      </c>
      <c r="AC83">
        <f t="shared" si="51"/>
        <v>1</v>
      </c>
      <c r="AD83">
        <f t="shared" si="52"/>
        <v>1</v>
      </c>
      <c r="AE83">
        <f t="shared" si="53"/>
        <v>0</v>
      </c>
      <c r="AF83">
        <f t="shared" si="54"/>
        <v>0</v>
      </c>
      <c r="AG83">
        <f t="shared" si="55"/>
        <v>0</v>
      </c>
      <c r="AH83">
        <f t="shared" si="56"/>
        <v>0</v>
      </c>
      <c r="AI83">
        <f t="shared" si="57"/>
        <v>0</v>
      </c>
      <c r="AJ83">
        <f t="shared" si="58"/>
        <v>0</v>
      </c>
      <c r="AK83">
        <f t="shared" si="59"/>
        <v>0</v>
      </c>
      <c r="AL83">
        <f t="shared" si="70"/>
        <v>0</v>
      </c>
      <c r="AM83">
        <f t="shared" si="71"/>
        <v>0</v>
      </c>
      <c r="AN83">
        <f t="shared" si="60"/>
        <v>0</v>
      </c>
      <c r="AO83">
        <f t="shared" si="61"/>
        <v>0</v>
      </c>
      <c r="AP83">
        <f t="shared" si="62"/>
        <v>0</v>
      </c>
      <c r="AQ83">
        <f t="shared" si="72"/>
        <v>0</v>
      </c>
      <c r="AR83">
        <f t="shared" si="73"/>
        <v>0</v>
      </c>
      <c r="AS83">
        <f t="shared" si="63"/>
        <v>0</v>
      </c>
      <c r="AT83">
        <f t="shared" si="64"/>
        <v>0</v>
      </c>
      <c r="AU83">
        <f t="shared" si="65"/>
        <v>0</v>
      </c>
      <c r="AV83">
        <f t="shared" si="66"/>
        <v>0</v>
      </c>
      <c r="AW83">
        <f t="shared" si="67"/>
        <v>0</v>
      </c>
      <c r="AX83">
        <f t="shared" si="68"/>
        <v>0</v>
      </c>
      <c r="AY83">
        <f t="shared" si="69"/>
        <v>0</v>
      </c>
      <c r="AZ83" t="s">
        <v>246</v>
      </c>
    </row>
    <row r="84" spans="1:52">
      <c r="A84">
        <v>83</v>
      </c>
      <c r="B84" s="14">
        <v>46179</v>
      </c>
      <c r="C84" t="s">
        <v>18</v>
      </c>
      <c r="D84" t="s">
        <v>7</v>
      </c>
      <c r="E84" t="s">
        <v>517</v>
      </c>
      <c r="F84" t="s">
        <v>17</v>
      </c>
      <c r="G84">
        <v>0</v>
      </c>
      <c r="H84">
        <v>2</v>
      </c>
      <c r="I84" t="s">
        <v>248</v>
      </c>
      <c r="J84" t="s">
        <v>248</v>
      </c>
      <c r="K84" t="s">
        <v>516</v>
      </c>
      <c r="L84" t="s">
        <v>191</v>
      </c>
      <c r="M84" t="s">
        <v>11</v>
      </c>
      <c r="N84" t="s">
        <v>190</v>
      </c>
      <c r="O84">
        <f t="shared" si="37"/>
        <v>1</v>
      </c>
      <c r="P84">
        <f t="shared" si="38"/>
        <v>0</v>
      </c>
      <c r="Q84">
        <f t="shared" si="39"/>
        <v>0</v>
      </c>
      <c r="R84">
        <f t="shared" si="40"/>
        <v>0</v>
      </c>
      <c r="S84">
        <f t="shared" si="41"/>
        <v>1</v>
      </c>
      <c r="T84">
        <f t="shared" si="42"/>
        <v>0</v>
      </c>
      <c r="U84">
        <f t="shared" si="43"/>
        <v>0</v>
      </c>
      <c r="V84">
        <f t="shared" si="44"/>
        <v>0</v>
      </c>
      <c r="W84">
        <f t="shared" si="45"/>
        <v>0</v>
      </c>
      <c r="X84">
        <f t="shared" si="46"/>
        <v>0</v>
      </c>
      <c r="Y84">
        <f t="shared" si="47"/>
        <v>0</v>
      </c>
      <c r="Z84">
        <f t="shared" si="48"/>
        <v>0</v>
      </c>
      <c r="AA84">
        <f t="shared" si="49"/>
        <v>0</v>
      </c>
      <c r="AB84">
        <f t="shared" si="50"/>
        <v>0</v>
      </c>
      <c r="AC84">
        <f t="shared" si="51"/>
        <v>0</v>
      </c>
      <c r="AD84">
        <f t="shared" si="52"/>
        <v>0</v>
      </c>
      <c r="AE84">
        <f t="shared" si="53"/>
        <v>0</v>
      </c>
      <c r="AF84">
        <f t="shared" si="54"/>
        <v>0</v>
      </c>
      <c r="AG84">
        <f t="shared" si="55"/>
        <v>0</v>
      </c>
      <c r="AH84">
        <f t="shared" si="56"/>
        <v>0</v>
      </c>
      <c r="AI84">
        <f t="shared" si="57"/>
        <v>0</v>
      </c>
      <c r="AJ84">
        <f t="shared" si="58"/>
        <v>0</v>
      </c>
      <c r="AK84">
        <f t="shared" si="59"/>
        <v>0</v>
      </c>
      <c r="AL84">
        <f t="shared" si="70"/>
        <v>0</v>
      </c>
      <c r="AM84">
        <f t="shared" si="71"/>
        <v>0</v>
      </c>
      <c r="AN84">
        <f t="shared" si="60"/>
        <v>0</v>
      </c>
      <c r="AO84">
        <f t="shared" si="61"/>
        <v>0</v>
      </c>
      <c r="AP84">
        <f t="shared" si="62"/>
        <v>0</v>
      </c>
      <c r="AQ84">
        <f t="shared" si="72"/>
        <v>0</v>
      </c>
      <c r="AR84">
        <f t="shared" si="73"/>
        <v>0</v>
      </c>
      <c r="AS84">
        <f t="shared" si="63"/>
        <v>0</v>
      </c>
      <c r="AT84">
        <f t="shared" si="64"/>
        <v>0</v>
      </c>
      <c r="AU84">
        <f t="shared" si="65"/>
        <v>0</v>
      </c>
      <c r="AV84">
        <f t="shared" si="66"/>
        <v>0</v>
      </c>
      <c r="AW84">
        <f t="shared" si="67"/>
        <v>0</v>
      </c>
      <c r="AX84">
        <f t="shared" si="68"/>
        <v>0</v>
      </c>
      <c r="AY84">
        <f t="shared" si="69"/>
        <v>0</v>
      </c>
      <c r="AZ84" t="s">
        <v>246</v>
      </c>
    </row>
    <row r="85" spans="1:52">
      <c r="A85">
        <v>84</v>
      </c>
      <c r="B85" s="14">
        <v>46179</v>
      </c>
      <c r="C85" t="s">
        <v>18</v>
      </c>
      <c r="D85" t="s">
        <v>7</v>
      </c>
      <c r="E85" t="s">
        <v>515</v>
      </c>
      <c r="F85" t="s">
        <v>3</v>
      </c>
      <c r="G85">
        <v>0</v>
      </c>
      <c r="H85">
        <v>1</v>
      </c>
      <c r="I85">
        <v>3</v>
      </c>
      <c r="J85">
        <v>4</v>
      </c>
      <c r="K85" t="s">
        <v>21</v>
      </c>
      <c r="L85" t="s">
        <v>514</v>
      </c>
      <c r="M85" t="s">
        <v>11</v>
      </c>
      <c r="N85" t="s">
        <v>190</v>
      </c>
      <c r="O85">
        <f t="shared" si="37"/>
        <v>0</v>
      </c>
      <c r="P85">
        <f t="shared" si="38"/>
        <v>0</v>
      </c>
      <c r="Q85">
        <f t="shared" si="39"/>
        <v>0</v>
      </c>
      <c r="R85">
        <f t="shared" si="40"/>
        <v>0</v>
      </c>
      <c r="S85">
        <f t="shared" si="41"/>
        <v>1</v>
      </c>
      <c r="T85">
        <f t="shared" si="42"/>
        <v>0</v>
      </c>
      <c r="U85">
        <f t="shared" si="43"/>
        <v>0</v>
      </c>
      <c r="V85">
        <f t="shared" si="44"/>
        <v>0</v>
      </c>
      <c r="W85">
        <f t="shared" si="45"/>
        <v>0</v>
      </c>
      <c r="X85">
        <f t="shared" si="46"/>
        <v>0</v>
      </c>
      <c r="Y85">
        <f t="shared" si="47"/>
        <v>0</v>
      </c>
      <c r="Z85">
        <f t="shared" si="48"/>
        <v>0</v>
      </c>
      <c r="AA85">
        <f t="shared" si="49"/>
        <v>0</v>
      </c>
      <c r="AB85">
        <f t="shared" si="50"/>
        <v>0</v>
      </c>
      <c r="AC85">
        <f t="shared" si="51"/>
        <v>0</v>
      </c>
      <c r="AD85">
        <f t="shared" si="52"/>
        <v>0</v>
      </c>
      <c r="AE85">
        <f t="shared" si="53"/>
        <v>0</v>
      </c>
      <c r="AF85">
        <f t="shared" si="54"/>
        <v>0</v>
      </c>
      <c r="AG85">
        <f t="shared" si="55"/>
        <v>0</v>
      </c>
      <c r="AH85">
        <f t="shared" si="56"/>
        <v>0</v>
      </c>
      <c r="AI85">
        <f t="shared" si="57"/>
        <v>0</v>
      </c>
      <c r="AJ85">
        <f t="shared" si="58"/>
        <v>0</v>
      </c>
      <c r="AK85">
        <f t="shared" si="59"/>
        <v>0</v>
      </c>
      <c r="AL85">
        <f t="shared" si="70"/>
        <v>0</v>
      </c>
      <c r="AM85">
        <f t="shared" si="71"/>
        <v>0</v>
      </c>
      <c r="AN85">
        <f t="shared" si="60"/>
        <v>0</v>
      </c>
      <c r="AO85">
        <f t="shared" si="61"/>
        <v>0</v>
      </c>
      <c r="AP85">
        <f t="shared" si="62"/>
        <v>0</v>
      </c>
      <c r="AQ85">
        <f t="shared" si="72"/>
        <v>0</v>
      </c>
      <c r="AR85">
        <f t="shared" si="73"/>
        <v>0</v>
      </c>
      <c r="AS85">
        <f t="shared" si="63"/>
        <v>0</v>
      </c>
      <c r="AT85">
        <f t="shared" si="64"/>
        <v>0</v>
      </c>
      <c r="AU85">
        <f t="shared" si="65"/>
        <v>0</v>
      </c>
      <c r="AV85">
        <f t="shared" si="66"/>
        <v>0</v>
      </c>
      <c r="AW85">
        <f t="shared" si="67"/>
        <v>0</v>
      </c>
      <c r="AX85">
        <f t="shared" si="68"/>
        <v>0</v>
      </c>
      <c r="AY85">
        <f t="shared" si="69"/>
        <v>0</v>
      </c>
      <c r="AZ85" t="s">
        <v>246</v>
      </c>
    </row>
    <row r="86" spans="1:52">
      <c r="A86">
        <v>85</v>
      </c>
      <c r="B86" s="14">
        <v>46179</v>
      </c>
      <c r="C86" t="s">
        <v>18</v>
      </c>
      <c r="D86" t="s">
        <v>4</v>
      </c>
      <c r="E86" s="2" t="s">
        <v>513</v>
      </c>
      <c r="F86" t="s">
        <v>14</v>
      </c>
      <c r="G86">
        <v>0</v>
      </c>
      <c r="H86">
        <v>2</v>
      </c>
      <c r="I86" t="s">
        <v>248</v>
      </c>
      <c r="J86" t="s">
        <v>248</v>
      </c>
      <c r="K86" t="s">
        <v>512</v>
      </c>
      <c r="L86" t="s">
        <v>191</v>
      </c>
      <c r="M86" t="s">
        <v>11</v>
      </c>
      <c r="N86" t="s">
        <v>190</v>
      </c>
      <c r="O86">
        <f t="shared" si="37"/>
        <v>0</v>
      </c>
      <c r="P86">
        <f t="shared" si="38"/>
        <v>0</v>
      </c>
      <c r="Q86">
        <f t="shared" si="39"/>
        <v>1</v>
      </c>
      <c r="R86">
        <f t="shared" si="40"/>
        <v>0</v>
      </c>
      <c r="S86">
        <f t="shared" si="41"/>
        <v>1</v>
      </c>
      <c r="T86">
        <f t="shared" si="42"/>
        <v>0</v>
      </c>
      <c r="U86">
        <f t="shared" si="43"/>
        <v>0</v>
      </c>
      <c r="V86">
        <f t="shared" si="44"/>
        <v>0</v>
      </c>
      <c r="W86">
        <f t="shared" si="45"/>
        <v>0</v>
      </c>
      <c r="X86">
        <f t="shared" si="46"/>
        <v>0</v>
      </c>
      <c r="Y86">
        <f t="shared" si="47"/>
        <v>0</v>
      </c>
      <c r="Z86">
        <f t="shared" si="48"/>
        <v>0</v>
      </c>
      <c r="AA86">
        <f t="shared" si="49"/>
        <v>0</v>
      </c>
      <c r="AB86">
        <f t="shared" si="50"/>
        <v>0</v>
      </c>
      <c r="AC86">
        <f t="shared" si="51"/>
        <v>0</v>
      </c>
      <c r="AD86">
        <f t="shared" si="52"/>
        <v>0</v>
      </c>
      <c r="AE86">
        <f t="shared" si="53"/>
        <v>0</v>
      </c>
      <c r="AF86">
        <f t="shared" si="54"/>
        <v>0</v>
      </c>
      <c r="AG86">
        <f t="shared" si="55"/>
        <v>0</v>
      </c>
      <c r="AH86">
        <f t="shared" si="56"/>
        <v>0</v>
      </c>
      <c r="AI86">
        <f t="shared" si="57"/>
        <v>0</v>
      </c>
      <c r="AJ86">
        <f t="shared" si="58"/>
        <v>0</v>
      </c>
      <c r="AK86">
        <f t="shared" si="59"/>
        <v>0</v>
      </c>
      <c r="AL86">
        <f t="shared" si="70"/>
        <v>0</v>
      </c>
      <c r="AM86">
        <f t="shared" si="71"/>
        <v>0</v>
      </c>
      <c r="AN86">
        <f t="shared" si="60"/>
        <v>0</v>
      </c>
      <c r="AO86">
        <f t="shared" si="61"/>
        <v>0</v>
      </c>
      <c r="AP86">
        <f t="shared" si="62"/>
        <v>0</v>
      </c>
      <c r="AQ86">
        <f t="shared" si="72"/>
        <v>0</v>
      </c>
      <c r="AR86">
        <f t="shared" si="73"/>
        <v>0</v>
      </c>
      <c r="AS86">
        <f t="shared" si="63"/>
        <v>0</v>
      </c>
      <c r="AT86">
        <f t="shared" si="64"/>
        <v>0</v>
      </c>
      <c r="AU86">
        <f t="shared" si="65"/>
        <v>0</v>
      </c>
      <c r="AV86">
        <f t="shared" si="66"/>
        <v>0</v>
      </c>
      <c r="AW86">
        <f t="shared" si="67"/>
        <v>0</v>
      </c>
      <c r="AX86">
        <f t="shared" si="68"/>
        <v>0</v>
      </c>
      <c r="AY86">
        <f t="shared" si="69"/>
        <v>0</v>
      </c>
      <c r="AZ86" t="s">
        <v>246</v>
      </c>
    </row>
    <row r="87" spans="1:52">
      <c r="A87">
        <v>86</v>
      </c>
      <c r="B87" s="14">
        <v>46179</v>
      </c>
      <c r="C87" t="s">
        <v>18</v>
      </c>
      <c r="D87" t="s">
        <v>4</v>
      </c>
      <c r="E87" t="s">
        <v>511</v>
      </c>
      <c r="F87" t="s">
        <v>5</v>
      </c>
      <c r="G87">
        <v>0</v>
      </c>
      <c r="H87">
        <v>1</v>
      </c>
      <c r="I87" t="s">
        <v>248</v>
      </c>
      <c r="J87" t="s">
        <v>248</v>
      </c>
      <c r="K87" t="s">
        <v>510</v>
      </c>
      <c r="L87" t="s">
        <v>191</v>
      </c>
      <c r="M87" t="s">
        <v>11</v>
      </c>
      <c r="N87" t="s">
        <v>190</v>
      </c>
      <c r="O87">
        <f t="shared" si="37"/>
        <v>1</v>
      </c>
      <c r="P87">
        <f t="shared" si="38"/>
        <v>0</v>
      </c>
      <c r="Q87">
        <f t="shared" si="39"/>
        <v>0</v>
      </c>
      <c r="R87">
        <f t="shared" si="40"/>
        <v>0</v>
      </c>
      <c r="S87">
        <f t="shared" si="41"/>
        <v>1</v>
      </c>
      <c r="T87">
        <f t="shared" si="42"/>
        <v>0</v>
      </c>
      <c r="U87">
        <f t="shared" si="43"/>
        <v>0</v>
      </c>
      <c r="V87">
        <f t="shared" si="44"/>
        <v>0</v>
      </c>
      <c r="W87">
        <f t="shared" si="45"/>
        <v>0</v>
      </c>
      <c r="X87">
        <f t="shared" si="46"/>
        <v>0</v>
      </c>
      <c r="Y87">
        <f t="shared" si="47"/>
        <v>0</v>
      </c>
      <c r="Z87">
        <f t="shared" si="48"/>
        <v>0</v>
      </c>
      <c r="AA87">
        <f t="shared" si="49"/>
        <v>0</v>
      </c>
      <c r="AB87">
        <f t="shared" si="50"/>
        <v>0</v>
      </c>
      <c r="AC87">
        <f t="shared" si="51"/>
        <v>0</v>
      </c>
      <c r="AD87">
        <f t="shared" si="52"/>
        <v>0</v>
      </c>
      <c r="AE87">
        <f t="shared" si="53"/>
        <v>0</v>
      </c>
      <c r="AF87">
        <f t="shared" si="54"/>
        <v>0</v>
      </c>
      <c r="AG87">
        <f t="shared" si="55"/>
        <v>0</v>
      </c>
      <c r="AH87">
        <f t="shared" si="56"/>
        <v>0</v>
      </c>
      <c r="AI87">
        <f t="shared" si="57"/>
        <v>0</v>
      </c>
      <c r="AJ87">
        <f t="shared" si="58"/>
        <v>0</v>
      </c>
      <c r="AK87">
        <f t="shared" si="59"/>
        <v>0</v>
      </c>
      <c r="AL87">
        <f t="shared" si="70"/>
        <v>0</v>
      </c>
      <c r="AM87">
        <f t="shared" si="71"/>
        <v>0</v>
      </c>
      <c r="AN87">
        <f t="shared" si="60"/>
        <v>0</v>
      </c>
      <c r="AO87">
        <f t="shared" si="61"/>
        <v>0</v>
      </c>
      <c r="AP87">
        <f t="shared" si="62"/>
        <v>0</v>
      </c>
      <c r="AQ87">
        <f t="shared" si="72"/>
        <v>0</v>
      </c>
      <c r="AR87">
        <f t="shared" si="73"/>
        <v>0</v>
      </c>
      <c r="AS87">
        <f t="shared" si="63"/>
        <v>0</v>
      </c>
      <c r="AT87">
        <f t="shared" si="64"/>
        <v>0</v>
      </c>
      <c r="AU87">
        <f t="shared" si="65"/>
        <v>0</v>
      </c>
      <c r="AV87">
        <f t="shared" si="66"/>
        <v>0</v>
      </c>
      <c r="AW87">
        <f t="shared" si="67"/>
        <v>0</v>
      </c>
      <c r="AX87">
        <f t="shared" si="68"/>
        <v>1</v>
      </c>
      <c r="AY87">
        <f t="shared" si="69"/>
        <v>1</v>
      </c>
      <c r="AZ87" t="s">
        <v>246</v>
      </c>
    </row>
    <row r="88" spans="1:52">
      <c r="A88">
        <v>87</v>
      </c>
      <c r="B88" s="14">
        <v>46179</v>
      </c>
      <c r="C88" t="s">
        <v>18</v>
      </c>
      <c r="D88" t="s">
        <v>7</v>
      </c>
      <c r="E88" t="s">
        <v>509</v>
      </c>
      <c r="F88" t="s">
        <v>6</v>
      </c>
      <c r="G88">
        <v>0</v>
      </c>
      <c r="H88">
        <v>4</v>
      </c>
      <c r="I88" t="s">
        <v>248</v>
      </c>
      <c r="J88" t="s">
        <v>248</v>
      </c>
      <c r="K88" t="s">
        <v>508</v>
      </c>
      <c r="L88" t="s">
        <v>191</v>
      </c>
      <c r="M88" t="s">
        <v>11</v>
      </c>
      <c r="N88" t="s">
        <v>190</v>
      </c>
      <c r="O88">
        <f t="shared" si="37"/>
        <v>0</v>
      </c>
      <c r="P88">
        <f t="shared" si="38"/>
        <v>0</v>
      </c>
      <c r="Q88">
        <f t="shared" si="39"/>
        <v>0</v>
      </c>
      <c r="R88">
        <f t="shared" si="40"/>
        <v>0</v>
      </c>
      <c r="S88">
        <f t="shared" si="41"/>
        <v>1</v>
      </c>
      <c r="T88">
        <f t="shared" si="42"/>
        <v>0</v>
      </c>
      <c r="U88">
        <f t="shared" si="43"/>
        <v>0</v>
      </c>
      <c r="V88">
        <f t="shared" si="44"/>
        <v>0</v>
      </c>
      <c r="W88">
        <f t="shared" si="45"/>
        <v>0</v>
      </c>
      <c r="X88">
        <f t="shared" si="46"/>
        <v>0</v>
      </c>
      <c r="Y88">
        <f t="shared" si="47"/>
        <v>0</v>
      </c>
      <c r="Z88">
        <f t="shared" si="48"/>
        <v>0</v>
      </c>
      <c r="AA88">
        <f t="shared" si="49"/>
        <v>0</v>
      </c>
      <c r="AB88">
        <f t="shared" si="50"/>
        <v>0</v>
      </c>
      <c r="AC88">
        <f t="shared" si="51"/>
        <v>0</v>
      </c>
      <c r="AD88">
        <f t="shared" si="52"/>
        <v>0</v>
      </c>
      <c r="AE88">
        <f t="shared" si="53"/>
        <v>0</v>
      </c>
      <c r="AF88">
        <f t="shared" si="54"/>
        <v>0</v>
      </c>
      <c r="AG88">
        <f t="shared" si="55"/>
        <v>0</v>
      </c>
      <c r="AH88">
        <f t="shared" si="56"/>
        <v>0</v>
      </c>
      <c r="AI88">
        <f t="shared" si="57"/>
        <v>0</v>
      </c>
      <c r="AJ88">
        <f t="shared" si="58"/>
        <v>0</v>
      </c>
      <c r="AK88">
        <f t="shared" si="59"/>
        <v>0</v>
      </c>
      <c r="AL88">
        <f t="shared" si="70"/>
        <v>0</v>
      </c>
      <c r="AM88">
        <f t="shared" si="71"/>
        <v>0</v>
      </c>
      <c r="AN88">
        <f t="shared" si="60"/>
        <v>0</v>
      </c>
      <c r="AO88">
        <f t="shared" si="61"/>
        <v>0</v>
      </c>
      <c r="AP88">
        <f t="shared" si="62"/>
        <v>0</v>
      </c>
      <c r="AQ88">
        <f t="shared" si="72"/>
        <v>0</v>
      </c>
      <c r="AR88">
        <f t="shared" si="73"/>
        <v>0</v>
      </c>
      <c r="AS88">
        <f t="shared" si="63"/>
        <v>0</v>
      </c>
      <c r="AT88">
        <f t="shared" si="64"/>
        <v>0</v>
      </c>
      <c r="AU88">
        <f t="shared" si="65"/>
        <v>0</v>
      </c>
      <c r="AV88">
        <f t="shared" si="66"/>
        <v>0</v>
      </c>
      <c r="AW88">
        <f t="shared" si="67"/>
        <v>0</v>
      </c>
      <c r="AX88">
        <f t="shared" si="68"/>
        <v>0</v>
      </c>
      <c r="AY88">
        <f t="shared" si="69"/>
        <v>0</v>
      </c>
      <c r="AZ88" t="s">
        <v>246</v>
      </c>
    </row>
    <row r="89" spans="1:52">
      <c r="A89">
        <v>88</v>
      </c>
      <c r="B89" s="14">
        <v>46179</v>
      </c>
      <c r="C89" t="s">
        <v>18</v>
      </c>
      <c r="D89" t="s">
        <v>4</v>
      </c>
      <c r="E89" t="s">
        <v>507</v>
      </c>
      <c r="F89" t="s">
        <v>6</v>
      </c>
      <c r="G89">
        <v>2</v>
      </c>
      <c r="H89">
        <v>5</v>
      </c>
      <c r="I89" t="s">
        <v>248</v>
      </c>
      <c r="J89" t="s">
        <v>248</v>
      </c>
      <c r="K89" t="s">
        <v>506</v>
      </c>
      <c r="L89" t="s">
        <v>505</v>
      </c>
      <c r="M89" t="s">
        <v>11</v>
      </c>
      <c r="N89" t="s">
        <v>198</v>
      </c>
      <c r="O89">
        <f t="shared" si="37"/>
        <v>0</v>
      </c>
      <c r="P89">
        <f t="shared" si="38"/>
        <v>0</v>
      </c>
      <c r="Q89">
        <f t="shared" si="39"/>
        <v>1</v>
      </c>
      <c r="R89">
        <f t="shared" si="40"/>
        <v>1</v>
      </c>
      <c r="S89">
        <f t="shared" si="41"/>
        <v>1</v>
      </c>
      <c r="T89">
        <f t="shared" si="42"/>
        <v>0</v>
      </c>
      <c r="U89">
        <f t="shared" si="43"/>
        <v>0</v>
      </c>
      <c r="V89">
        <f t="shared" si="44"/>
        <v>0</v>
      </c>
      <c r="W89">
        <f t="shared" si="45"/>
        <v>0</v>
      </c>
      <c r="X89">
        <f t="shared" si="46"/>
        <v>0</v>
      </c>
      <c r="Y89">
        <f t="shared" si="47"/>
        <v>0</v>
      </c>
      <c r="Z89">
        <f t="shared" si="48"/>
        <v>0</v>
      </c>
      <c r="AA89">
        <f t="shared" si="49"/>
        <v>0</v>
      </c>
      <c r="AB89">
        <f t="shared" si="50"/>
        <v>0</v>
      </c>
      <c r="AC89">
        <f t="shared" si="51"/>
        <v>0</v>
      </c>
      <c r="AD89">
        <f t="shared" si="52"/>
        <v>0</v>
      </c>
      <c r="AE89">
        <f t="shared" si="53"/>
        <v>0</v>
      </c>
      <c r="AF89">
        <f t="shared" si="54"/>
        <v>0</v>
      </c>
      <c r="AG89">
        <f t="shared" si="55"/>
        <v>0</v>
      </c>
      <c r="AH89">
        <f t="shared" si="56"/>
        <v>0</v>
      </c>
      <c r="AI89">
        <f t="shared" si="57"/>
        <v>0</v>
      </c>
      <c r="AJ89">
        <f t="shared" si="58"/>
        <v>0</v>
      </c>
      <c r="AK89">
        <f t="shared" si="59"/>
        <v>0</v>
      </c>
      <c r="AL89">
        <f t="shared" si="70"/>
        <v>0</v>
      </c>
      <c r="AM89">
        <f t="shared" si="71"/>
        <v>0</v>
      </c>
      <c r="AN89">
        <f t="shared" si="60"/>
        <v>1</v>
      </c>
      <c r="AO89">
        <f t="shared" si="61"/>
        <v>0</v>
      </c>
      <c r="AP89">
        <f t="shared" si="62"/>
        <v>0</v>
      </c>
      <c r="AQ89">
        <f t="shared" si="72"/>
        <v>0</v>
      </c>
      <c r="AR89">
        <f t="shared" si="73"/>
        <v>0</v>
      </c>
      <c r="AS89">
        <f t="shared" si="63"/>
        <v>0</v>
      </c>
      <c r="AT89">
        <f t="shared" si="64"/>
        <v>0</v>
      </c>
      <c r="AU89">
        <f t="shared" si="65"/>
        <v>0</v>
      </c>
      <c r="AV89">
        <f t="shared" si="66"/>
        <v>0</v>
      </c>
      <c r="AW89">
        <f t="shared" si="67"/>
        <v>0</v>
      </c>
      <c r="AX89">
        <f t="shared" si="68"/>
        <v>0</v>
      </c>
      <c r="AY89">
        <f t="shared" si="69"/>
        <v>0</v>
      </c>
      <c r="AZ89" t="s">
        <v>246</v>
      </c>
    </row>
    <row r="90" spans="1:52">
      <c r="A90">
        <v>89</v>
      </c>
      <c r="B90" s="14">
        <v>46179</v>
      </c>
      <c r="C90" t="s">
        <v>18</v>
      </c>
      <c r="D90" t="s">
        <v>4</v>
      </c>
      <c r="E90" t="s">
        <v>504</v>
      </c>
      <c r="F90" t="s">
        <v>12</v>
      </c>
      <c r="G90">
        <v>0</v>
      </c>
      <c r="H90">
        <v>3</v>
      </c>
      <c r="I90" t="s">
        <v>248</v>
      </c>
      <c r="J90" t="s">
        <v>248</v>
      </c>
      <c r="K90" t="s">
        <v>503</v>
      </c>
      <c r="L90" t="s">
        <v>502</v>
      </c>
      <c r="M90" t="s">
        <v>11</v>
      </c>
      <c r="N90" t="s">
        <v>198</v>
      </c>
      <c r="O90">
        <f t="shared" si="37"/>
        <v>1</v>
      </c>
      <c r="P90">
        <f t="shared" si="38"/>
        <v>1</v>
      </c>
      <c r="Q90">
        <f t="shared" si="39"/>
        <v>0</v>
      </c>
      <c r="R90">
        <f t="shared" si="40"/>
        <v>0</v>
      </c>
      <c r="S90">
        <f t="shared" si="41"/>
        <v>0</v>
      </c>
      <c r="T90">
        <f t="shared" si="42"/>
        <v>0</v>
      </c>
      <c r="U90">
        <f t="shared" si="43"/>
        <v>0</v>
      </c>
      <c r="V90">
        <f t="shared" si="44"/>
        <v>0</v>
      </c>
      <c r="W90">
        <f t="shared" si="45"/>
        <v>0</v>
      </c>
      <c r="X90">
        <f t="shared" si="46"/>
        <v>0</v>
      </c>
      <c r="Y90">
        <f t="shared" si="47"/>
        <v>0</v>
      </c>
      <c r="Z90">
        <f t="shared" si="48"/>
        <v>0</v>
      </c>
      <c r="AA90">
        <f t="shared" si="49"/>
        <v>0</v>
      </c>
      <c r="AB90">
        <f t="shared" si="50"/>
        <v>0</v>
      </c>
      <c r="AC90">
        <f t="shared" si="51"/>
        <v>0</v>
      </c>
      <c r="AD90">
        <f t="shared" si="52"/>
        <v>0</v>
      </c>
      <c r="AE90">
        <f t="shared" si="53"/>
        <v>0</v>
      </c>
      <c r="AF90">
        <f t="shared" si="54"/>
        <v>0</v>
      </c>
      <c r="AG90">
        <f t="shared" si="55"/>
        <v>0</v>
      </c>
      <c r="AH90">
        <f t="shared" si="56"/>
        <v>0</v>
      </c>
      <c r="AI90">
        <f t="shared" si="57"/>
        <v>0</v>
      </c>
      <c r="AJ90">
        <f t="shared" si="58"/>
        <v>0</v>
      </c>
      <c r="AK90">
        <f t="shared" si="59"/>
        <v>0</v>
      </c>
      <c r="AL90">
        <f t="shared" si="70"/>
        <v>0</v>
      </c>
      <c r="AM90">
        <f t="shared" si="71"/>
        <v>0</v>
      </c>
      <c r="AN90">
        <f t="shared" si="60"/>
        <v>0</v>
      </c>
      <c r="AO90">
        <f t="shared" si="61"/>
        <v>0</v>
      </c>
      <c r="AP90">
        <f t="shared" si="62"/>
        <v>0</v>
      </c>
      <c r="AQ90">
        <f t="shared" si="72"/>
        <v>0</v>
      </c>
      <c r="AR90">
        <f t="shared" si="73"/>
        <v>0</v>
      </c>
      <c r="AS90">
        <f t="shared" si="63"/>
        <v>0</v>
      </c>
      <c r="AT90">
        <f t="shared" si="64"/>
        <v>0</v>
      </c>
      <c r="AU90">
        <f t="shared" si="65"/>
        <v>0</v>
      </c>
      <c r="AV90">
        <f t="shared" si="66"/>
        <v>0</v>
      </c>
      <c r="AW90">
        <f t="shared" si="67"/>
        <v>0</v>
      </c>
      <c r="AX90">
        <f t="shared" si="68"/>
        <v>0</v>
      </c>
      <c r="AY90">
        <f t="shared" si="69"/>
        <v>0</v>
      </c>
      <c r="AZ90" t="s">
        <v>246</v>
      </c>
    </row>
    <row r="91" spans="1:52">
      <c r="A91">
        <v>90</v>
      </c>
      <c r="B91" s="14">
        <v>46179</v>
      </c>
      <c r="C91" t="s">
        <v>18</v>
      </c>
      <c r="D91" t="s">
        <v>4</v>
      </c>
      <c r="E91" t="s">
        <v>501</v>
      </c>
      <c r="F91" t="s">
        <v>12</v>
      </c>
      <c r="G91">
        <v>0</v>
      </c>
      <c r="H91">
        <v>2</v>
      </c>
      <c r="I91" t="s">
        <v>248</v>
      </c>
      <c r="J91" t="s">
        <v>248</v>
      </c>
      <c r="K91" t="s">
        <v>500</v>
      </c>
      <c r="L91" t="s">
        <v>191</v>
      </c>
      <c r="M91" t="s">
        <v>11</v>
      </c>
      <c r="N91" t="s">
        <v>190</v>
      </c>
      <c r="O91">
        <f t="shared" si="37"/>
        <v>1</v>
      </c>
      <c r="P91">
        <f t="shared" si="38"/>
        <v>0</v>
      </c>
      <c r="Q91">
        <f t="shared" si="39"/>
        <v>0</v>
      </c>
      <c r="R91">
        <f t="shared" si="40"/>
        <v>0</v>
      </c>
      <c r="S91">
        <f t="shared" si="41"/>
        <v>0</v>
      </c>
      <c r="T91">
        <f t="shared" si="42"/>
        <v>0</v>
      </c>
      <c r="U91">
        <f t="shared" si="43"/>
        <v>0</v>
      </c>
      <c r="V91">
        <f t="shared" si="44"/>
        <v>0</v>
      </c>
      <c r="W91">
        <f t="shared" si="45"/>
        <v>0</v>
      </c>
      <c r="X91">
        <f t="shared" si="46"/>
        <v>0</v>
      </c>
      <c r="Y91">
        <f t="shared" si="47"/>
        <v>0</v>
      </c>
      <c r="Z91">
        <f t="shared" si="48"/>
        <v>0</v>
      </c>
      <c r="AA91">
        <f t="shared" si="49"/>
        <v>0</v>
      </c>
      <c r="AB91">
        <f t="shared" si="50"/>
        <v>0</v>
      </c>
      <c r="AC91">
        <f t="shared" si="51"/>
        <v>0</v>
      </c>
      <c r="AD91">
        <f t="shared" si="52"/>
        <v>0</v>
      </c>
      <c r="AE91">
        <f t="shared" si="53"/>
        <v>0</v>
      </c>
      <c r="AF91">
        <f t="shared" si="54"/>
        <v>0</v>
      </c>
      <c r="AG91">
        <f t="shared" si="55"/>
        <v>0</v>
      </c>
      <c r="AH91">
        <f t="shared" si="56"/>
        <v>0</v>
      </c>
      <c r="AI91">
        <f t="shared" si="57"/>
        <v>1</v>
      </c>
      <c r="AJ91">
        <f t="shared" si="58"/>
        <v>0</v>
      </c>
      <c r="AK91">
        <f t="shared" si="59"/>
        <v>0</v>
      </c>
      <c r="AL91">
        <f t="shared" si="70"/>
        <v>0</v>
      </c>
      <c r="AM91">
        <f t="shared" si="71"/>
        <v>0</v>
      </c>
      <c r="AN91">
        <f t="shared" si="60"/>
        <v>0</v>
      </c>
      <c r="AO91">
        <f t="shared" si="61"/>
        <v>0</v>
      </c>
      <c r="AP91">
        <f t="shared" si="62"/>
        <v>0</v>
      </c>
      <c r="AQ91">
        <f t="shared" si="72"/>
        <v>0</v>
      </c>
      <c r="AR91">
        <f t="shared" si="73"/>
        <v>0</v>
      </c>
      <c r="AS91">
        <f t="shared" si="63"/>
        <v>0</v>
      </c>
      <c r="AT91">
        <f t="shared" si="64"/>
        <v>0</v>
      </c>
      <c r="AU91">
        <f t="shared" si="65"/>
        <v>0</v>
      </c>
      <c r="AV91">
        <f t="shared" si="66"/>
        <v>0</v>
      </c>
      <c r="AW91">
        <f t="shared" si="67"/>
        <v>0</v>
      </c>
      <c r="AX91">
        <f t="shared" si="68"/>
        <v>0</v>
      </c>
      <c r="AY91">
        <f t="shared" si="69"/>
        <v>0</v>
      </c>
      <c r="AZ91" t="s">
        <v>246</v>
      </c>
    </row>
    <row r="92" spans="1:52">
      <c r="A92">
        <v>91</v>
      </c>
      <c r="B92" s="14">
        <v>46179</v>
      </c>
      <c r="C92" t="s">
        <v>18</v>
      </c>
      <c r="D92" t="s">
        <v>4</v>
      </c>
      <c r="E92" t="s">
        <v>499</v>
      </c>
      <c r="F92" t="s">
        <v>6</v>
      </c>
      <c r="G92">
        <v>0</v>
      </c>
      <c r="H92">
        <v>2</v>
      </c>
      <c r="I92" t="s">
        <v>248</v>
      </c>
      <c r="J92" t="s">
        <v>248</v>
      </c>
      <c r="K92" t="s">
        <v>498</v>
      </c>
      <c r="L92" t="s">
        <v>191</v>
      </c>
      <c r="M92" t="s">
        <v>11</v>
      </c>
      <c r="N92" t="s">
        <v>190</v>
      </c>
      <c r="O92">
        <f t="shared" si="37"/>
        <v>0</v>
      </c>
      <c r="P92">
        <f t="shared" si="38"/>
        <v>0</v>
      </c>
      <c r="Q92">
        <f t="shared" si="39"/>
        <v>0</v>
      </c>
      <c r="R92">
        <f t="shared" si="40"/>
        <v>0</v>
      </c>
      <c r="S92">
        <f t="shared" si="41"/>
        <v>1</v>
      </c>
      <c r="T92">
        <f t="shared" si="42"/>
        <v>1</v>
      </c>
      <c r="U92">
        <f t="shared" si="43"/>
        <v>0</v>
      </c>
      <c r="V92">
        <f t="shared" si="44"/>
        <v>0</v>
      </c>
      <c r="W92">
        <f t="shared" si="45"/>
        <v>0</v>
      </c>
      <c r="X92">
        <f t="shared" si="46"/>
        <v>0</v>
      </c>
      <c r="Y92">
        <f t="shared" si="47"/>
        <v>0</v>
      </c>
      <c r="Z92">
        <f t="shared" si="48"/>
        <v>0</v>
      </c>
      <c r="AA92">
        <f t="shared" si="49"/>
        <v>0</v>
      </c>
      <c r="AB92">
        <f t="shared" si="50"/>
        <v>0</v>
      </c>
      <c r="AC92">
        <f t="shared" si="51"/>
        <v>0</v>
      </c>
      <c r="AD92">
        <f t="shared" si="52"/>
        <v>0</v>
      </c>
      <c r="AE92">
        <f t="shared" si="53"/>
        <v>0</v>
      </c>
      <c r="AF92">
        <f t="shared" si="54"/>
        <v>0</v>
      </c>
      <c r="AG92">
        <f t="shared" si="55"/>
        <v>0</v>
      </c>
      <c r="AH92">
        <f t="shared" si="56"/>
        <v>0</v>
      </c>
      <c r="AI92">
        <f t="shared" si="57"/>
        <v>0</v>
      </c>
      <c r="AJ92">
        <f t="shared" si="58"/>
        <v>0</v>
      </c>
      <c r="AK92">
        <f t="shared" si="59"/>
        <v>0</v>
      </c>
      <c r="AL92">
        <f t="shared" si="70"/>
        <v>0</v>
      </c>
      <c r="AM92">
        <f t="shared" si="71"/>
        <v>0</v>
      </c>
      <c r="AN92">
        <f t="shared" si="60"/>
        <v>0</v>
      </c>
      <c r="AO92">
        <f t="shared" si="61"/>
        <v>0</v>
      </c>
      <c r="AP92">
        <f t="shared" si="62"/>
        <v>0</v>
      </c>
      <c r="AQ92">
        <f t="shared" si="72"/>
        <v>0</v>
      </c>
      <c r="AR92">
        <f t="shared" si="73"/>
        <v>0</v>
      </c>
      <c r="AS92">
        <f t="shared" si="63"/>
        <v>0</v>
      </c>
      <c r="AT92">
        <f t="shared" si="64"/>
        <v>0</v>
      </c>
      <c r="AU92">
        <f t="shared" si="65"/>
        <v>0</v>
      </c>
      <c r="AV92">
        <f t="shared" si="66"/>
        <v>0</v>
      </c>
      <c r="AW92">
        <f t="shared" si="67"/>
        <v>0</v>
      </c>
      <c r="AX92">
        <f t="shared" si="68"/>
        <v>0</v>
      </c>
      <c r="AY92">
        <f t="shared" si="69"/>
        <v>0</v>
      </c>
      <c r="AZ92" t="s">
        <v>246</v>
      </c>
    </row>
    <row r="93" spans="1:52">
      <c r="A93">
        <v>92</v>
      </c>
      <c r="B93" s="14">
        <v>46179</v>
      </c>
      <c r="C93" t="s">
        <v>18</v>
      </c>
      <c r="D93" t="s">
        <v>4</v>
      </c>
      <c r="E93" t="s">
        <v>497</v>
      </c>
      <c r="F93" t="s">
        <v>16</v>
      </c>
      <c r="G93">
        <v>0</v>
      </c>
      <c r="H93">
        <v>1</v>
      </c>
      <c r="I93" t="s">
        <v>248</v>
      </c>
      <c r="J93" t="s">
        <v>248</v>
      </c>
      <c r="K93" t="s">
        <v>496</v>
      </c>
      <c r="L93" t="s">
        <v>191</v>
      </c>
      <c r="M93" t="s">
        <v>11</v>
      </c>
      <c r="N93" t="s">
        <v>190</v>
      </c>
      <c r="O93">
        <f t="shared" si="37"/>
        <v>1</v>
      </c>
      <c r="P93">
        <f t="shared" si="38"/>
        <v>0</v>
      </c>
      <c r="Q93">
        <f t="shared" si="39"/>
        <v>0</v>
      </c>
      <c r="R93">
        <f t="shared" si="40"/>
        <v>0</v>
      </c>
      <c r="S93">
        <f t="shared" si="41"/>
        <v>1</v>
      </c>
      <c r="T93">
        <f t="shared" si="42"/>
        <v>0</v>
      </c>
      <c r="U93">
        <f t="shared" si="43"/>
        <v>0</v>
      </c>
      <c r="V93">
        <f t="shared" si="44"/>
        <v>0</v>
      </c>
      <c r="W93">
        <f t="shared" si="45"/>
        <v>0</v>
      </c>
      <c r="X93">
        <f t="shared" si="46"/>
        <v>0</v>
      </c>
      <c r="Y93">
        <f t="shared" si="47"/>
        <v>0</v>
      </c>
      <c r="Z93">
        <f t="shared" si="48"/>
        <v>0</v>
      </c>
      <c r="AA93">
        <f t="shared" si="49"/>
        <v>0</v>
      </c>
      <c r="AB93">
        <f t="shared" si="50"/>
        <v>0</v>
      </c>
      <c r="AC93">
        <f t="shared" si="51"/>
        <v>1</v>
      </c>
      <c r="AD93">
        <f t="shared" si="52"/>
        <v>0</v>
      </c>
      <c r="AE93">
        <f t="shared" si="53"/>
        <v>0</v>
      </c>
      <c r="AF93">
        <f t="shared" si="54"/>
        <v>0</v>
      </c>
      <c r="AG93">
        <f t="shared" si="55"/>
        <v>0</v>
      </c>
      <c r="AH93">
        <f t="shared" si="56"/>
        <v>0</v>
      </c>
      <c r="AI93">
        <f t="shared" si="57"/>
        <v>0</v>
      </c>
      <c r="AJ93">
        <f t="shared" si="58"/>
        <v>0</v>
      </c>
      <c r="AK93">
        <f t="shared" si="59"/>
        <v>0</v>
      </c>
      <c r="AL93">
        <f t="shared" si="70"/>
        <v>0</v>
      </c>
      <c r="AM93">
        <f t="shared" si="71"/>
        <v>0</v>
      </c>
      <c r="AN93">
        <f t="shared" si="60"/>
        <v>0</v>
      </c>
      <c r="AO93">
        <f t="shared" si="61"/>
        <v>0</v>
      </c>
      <c r="AP93">
        <f t="shared" si="62"/>
        <v>0</v>
      </c>
      <c r="AQ93">
        <f t="shared" si="72"/>
        <v>0</v>
      </c>
      <c r="AR93">
        <f t="shared" si="73"/>
        <v>0</v>
      </c>
      <c r="AS93">
        <f t="shared" si="63"/>
        <v>0</v>
      </c>
      <c r="AT93">
        <f t="shared" si="64"/>
        <v>0</v>
      </c>
      <c r="AU93">
        <f t="shared" si="65"/>
        <v>0</v>
      </c>
      <c r="AV93">
        <f t="shared" si="66"/>
        <v>0</v>
      </c>
      <c r="AW93">
        <f t="shared" si="67"/>
        <v>0</v>
      </c>
      <c r="AX93">
        <f t="shared" si="68"/>
        <v>0</v>
      </c>
      <c r="AY93">
        <f t="shared" si="69"/>
        <v>0</v>
      </c>
      <c r="AZ93" t="s">
        <v>246</v>
      </c>
    </row>
    <row r="94" spans="1:52">
      <c r="A94">
        <v>93</v>
      </c>
      <c r="B94" s="14">
        <v>46179</v>
      </c>
      <c r="C94" t="s">
        <v>18</v>
      </c>
      <c r="D94" t="s">
        <v>4</v>
      </c>
      <c r="E94" t="s">
        <v>495</v>
      </c>
      <c r="F94" t="s">
        <v>13</v>
      </c>
      <c r="G94">
        <v>0</v>
      </c>
      <c r="H94">
        <v>2</v>
      </c>
      <c r="I94" t="s">
        <v>248</v>
      </c>
      <c r="J94" t="s">
        <v>248</v>
      </c>
      <c r="K94" t="s">
        <v>494</v>
      </c>
      <c r="L94" t="s">
        <v>191</v>
      </c>
      <c r="M94" t="s">
        <v>11</v>
      </c>
      <c r="N94" t="s">
        <v>190</v>
      </c>
      <c r="O94">
        <f t="shared" si="37"/>
        <v>0</v>
      </c>
      <c r="P94">
        <f t="shared" si="38"/>
        <v>0</v>
      </c>
      <c r="Q94">
        <f t="shared" si="39"/>
        <v>0</v>
      </c>
      <c r="R94">
        <f t="shared" si="40"/>
        <v>0</v>
      </c>
      <c r="S94">
        <f t="shared" si="41"/>
        <v>1</v>
      </c>
      <c r="T94">
        <f t="shared" si="42"/>
        <v>0</v>
      </c>
      <c r="U94">
        <f t="shared" si="43"/>
        <v>0</v>
      </c>
      <c r="V94">
        <f t="shared" si="44"/>
        <v>0</v>
      </c>
      <c r="W94">
        <f t="shared" si="45"/>
        <v>0</v>
      </c>
      <c r="X94">
        <f t="shared" si="46"/>
        <v>0</v>
      </c>
      <c r="Y94">
        <f t="shared" si="47"/>
        <v>0</v>
      </c>
      <c r="Z94">
        <f t="shared" si="48"/>
        <v>0</v>
      </c>
      <c r="AA94">
        <f t="shared" si="49"/>
        <v>0</v>
      </c>
      <c r="AB94">
        <f t="shared" si="50"/>
        <v>0</v>
      </c>
      <c r="AC94">
        <f t="shared" si="51"/>
        <v>0</v>
      </c>
      <c r="AD94">
        <f t="shared" si="52"/>
        <v>0</v>
      </c>
      <c r="AE94">
        <f t="shared" si="53"/>
        <v>0</v>
      </c>
      <c r="AF94">
        <f t="shared" si="54"/>
        <v>0</v>
      </c>
      <c r="AG94">
        <f t="shared" si="55"/>
        <v>0</v>
      </c>
      <c r="AH94">
        <f t="shared" si="56"/>
        <v>1</v>
      </c>
      <c r="AI94">
        <f t="shared" si="57"/>
        <v>0</v>
      </c>
      <c r="AJ94">
        <f t="shared" si="58"/>
        <v>0</v>
      </c>
      <c r="AK94">
        <f t="shared" si="59"/>
        <v>0</v>
      </c>
      <c r="AL94">
        <f t="shared" si="70"/>
        <v>0</v>
      </c>
      <c r="AM94">
        <f t="shared" si="71"/>
        <v>0</v>
      </c>
      <c r="AN94">
        <f t="shared" si="60"/>
        <v>0</v>
      </c>
      <c r="AO94">
        <f t="shared" si="61"/>
        <v>0</v>
      </c>
      <c r="AP94">
        <f t="shared" si="62"/>
        <v>0</v>
      </c>
      <c r="AQ94">
        <f t="shared" si="72"/>
        <v>0</v>
      </c>
      <c r="AR94">
        <f t="shared" si="73"/>
        <v>0</v>
      </c>
      <c r="AS94">
        <f t="shared" si="63"/>
        <v>0</v>
      </c>
      <c r="AT94">
        <f t="shared" si="64"/>
        <v>0</v>
      </c>
      <c r="AU94">
        <f t="shared" si="65"/>
        <v>0</v>
      </c>
      <c r="AV94">
        <f t="shared" si="66"/>
        <v>0</v>
      </c>
      <c r="AW94">
        <f t="shared" si="67"/>
        <v>0</v>
      </c>
      <c r="AX94">
        <f t="shared" si="68"/>
        <v>0</v>
      </c>
      <c r="AY94">
        <f t="shared" si="69"/>
        <v>0</v>
      </c>
      <c r="AZ94" t="s">
        <v>246</v>
      </c>
    </row>
    <row r="95" spans="1:52">
      <c r="A95">
        <v>94</v>
      </c>
      <c r="B95" s="14">
        <v>46179</v>
      </c>
      <c r="C95" t="s">
        <v>18</v>
      </c>
      <c r="D95" t="s">
        <v>4</v>
      </c>
      <c r="E95" t="s">
        <v>493</v>
      </c>
      <c r="F95" t="s">
        <v>16</v>
      </c>
      <c r="G95">
        <v>0</v>
      </c>
      <c r="H95">
        <v>2</v>
      </c>
      <c r="I95" t="s">
        <v>248</v>
      </c>
      <c r="J95" t="s">
        <v>248</v>
      </c>
      <c r="K95" t="s">
        <v>492</v>
      </c>
      <c r="L95" t="s">
        <v>191</v>
      </c>
      <c r="M95" t="s">
        <v>11</v>
      </c>
      <c r="N95" t="s">
        <v>190</v>
      </c>
      <c r="O95">
        <f t="shared" si="37"/>
        <v>0</v>
      </c>
      <c r="P95">
        <f t="shared" si="38"/>
        <v>0</v>
      </c>
      <c r="Q95">
        <f t="shared" si="39"/>
        <v>0</v>
      </c>
      <c r="R95">
        <f t="shared" si="40"/>
        <v>0</v>
      </c>
      <c r="S95">
        <f t="shared" si="41"/>
        <v>0</v>
      </c>
      <c r="T95">
        <f t="shared" si="42"/>
        <v>0</v>
      </c>
      <c r="U95">
        <f t="shared" si="43"/>
        <v>0</v>
      </c>
      <c r="V95">
        <f t="shared" si="44"/>
        <v>0</v>
      </c>
      <c r="W95">
        <f t="shared" si="45"/>
        <v>0</v>
      </c>
      <c r="X95">
        <f t="shared" si="46"/>
        <v>0</v>
      </c>
      <c r="Y95">
        <f t="shared" si="47"/>
        <v>0</v>
      </c>
      <c r="Z95">
        <f t="shared" si="48"/>
        <v>0</v>
      </c>
      <c r="AA95">
        <f t="shared" si="49"/>
        <v>0</v>
      </c>
      <c r="AB95">
        <f t="shared" si="50"/>
        <v>0</v>
      </c>
      <c r="AC95">
        <f t="shared" si="51"/>
        <v>1</v>
      </c>
      <c r="AD95">
        <f t="shared" si="52"/>
        <v>0</v>
      </c>
      <c r="AE95">
        <f t="shared" si="53"/>
        <v>0</v>
      </c>
      <c r="AF95">
        <f t="shared" si="54"/>
        <v>0</v>
      </c>
      <c r="AG95">
        <f t="shared" si="55"/>
        <v>0</v>
      </c>
      <c r="AH95">
        <f t="shared" si="56"/>
        <v>0</v>
      </c>
      <c r="AI95">
        <f t="shared" si="57"/>
        <v>0</v>
      </c>
      <c r="AJ95">
        <f t="shared" si="58"/>
        <v>0</v>
      </c>
      <c r="AK95">
        <f t="shared" si="59"/>
        <v>0</v>
      </c>
      <c r="AL95">
        <f t="shared" si="70"/>
        <v>0</v>
      </c>
      <c r="AM95">
        <f t="shared" si="71"/>
        <v>0</v>
      </c>
      <c r="AN95">
        <f t="shared" si="60"/>
        <v>0</v>
      </c>
      <c r="AO95">
        <f t="shared" si="61"/>
        <v>0</v>
      </c>
      <c r="AP95">
        <f t="shared" si="62"/>
        <v>0</v>
      </c>
      <c r="AQ95">
        <f t="shared" si="72"/>
        <v>0</v>
      </c>
      <c r="AR95">
        <f t="shared" si="73"/>
        <v>0</v>
      </c>
      <c r="AS95">
        <f t="shared" si="63"/>
        <v>0</v>
      </c>
      <c r="AT95">
        <f t="shared" si="64"/>
        <v>0</v>
      </c>
      <c r="AU95">
        <f t="shared" si="65"/>
        <v>0</v>
      </c>
      <c r="AV95">
        <f t="shared" si="66"/>
        <v>0</v>
      </c>
      <c r="AW95">
        <f t="shared" si="67"/>
        <v>0</v>
      </c>
      <c r="AX95">
        <f t="shared" si="68"/>
        <v>0</v>
      </c>
      <c r="AY95">
        <f t="shared" si="69"/>
        <v>0</v>
      </c>
      <c r="AZ95" t="s">
        <v>246</v>
      </c>
    </row>
    <row r="96" spans="1:52">
      <c r="A96">
        <v>95</v>
      </c>
      <c r="B96" s="14">
        <v>46179</v>
      </c>
      <c r="C96" t="s">
        <v>18</v>
      </c>
      <c r="D96" t="s">
        <v>4</v>
      </c>
      <c r="E96" t="s">
        <v>491</v>
      </c>
      <c r="F96" t="s">
        <v>14</v>
      </c>
      <c r="G96">
        <v>4</v>
      </c>
      <c r="H96" t="s">
        <v>248</v>
      </c>
      <c r="I96" t="s">
        <v>248</v>
      </c>
      <c r="J96" t="s">
        <v>248</v>
      </c>
      <c r="K96" t="s">
        <v>490</v>
      </c>
      <c r="L96" t="s">
        <v>489</v>
      </c>
      <c r="M96" t="s">
        <v>11</v>
      </c>
      <c r="N96" t="s">
        <v>190</v>
      </c>
      <c r="O96">
        <f t="shared" si="37"/>
        <v>0</v>
      </c>
      <c r="P96">
        <f t="shared" si="38"/>
        <v>0</v>
      </c>
      <c r="Q96">
        <f t="shared" si="39"/>
        <v>0</v>
      </c>
      <c r="R96">
        <f t="shared" si="40"/>
        <v>0</v>
      </c>
      <c r="S96">
        <f t="shared" si="41"/>
        <v>1</v>
      </c>
      <c r="T96">
        <f t="shared" si="42"/>
        <v>0</v>
      </c>
      <c r="U96">
        <f t="shared" si="43"/>
        <v>0</v>
      </c>
      <c r="V96">
        <f t="shared" si="44"/>
        <v>0</v>
      </c>
      <c r="W96">
        <f t="shared" si="45"/>
        <v>0</v>
      </c>
      <c r="X96">
        <f t="shared" si="46"/>
        <v>0</v>
      </c>
      <c r="Y96">
        <f t="shared" si="47"/>
        <v>0</v>
      </c>
      <c r="Z96">
        <f t="shared" si="48"/>
        <v>0</v>
      </c>
      <c r="AA96">
        <f t="shared" si="49"/>
        <v>0</v>
      </c>
      <c r="AB96">
        <f t="shared" si="50"/>
        <v>0</v>
      </c>
      <c r="AC96">
        <f t="shared" si="51"/>
        <v>0</v>
      </c>
      <c r="AD96">
        <f t="shared" si="52"/>
        <v>0</v>
      </c>
      <c r="AE96">
        <f t="shared" si="53"/>
        <v>0</v>
      </c>
      <c r="AF96">
        <f t="shared" si="54"/>
        <v>0</v>
      </c>
      <c r="AG96">
        <f t="shared" si="55"/>
        <v>0</v>
      </c>
      <c r="AH96">
        <f t="shared" si="56"/>
        <v>0</v>
      </c>
      <c r="AI96">
        <f t="shared" si="57"/>
        <v>1</v>
      </c>
      <c r="AJ96">
        <f t="shared" si="58"/>
        <v>0</v>
      </c>
      <c r="AK96">
        <f t="shared" si="59"/>
        <v>0</v>
      </c>
      <c r="AL96">
        <f t="shared" si="70"/>
        <v>0</v>
      </c>
      <c r="AM96">
        <f t="shared" si="71"/>
        <v>0</v>
      </c>
      <c r="AN96">
        <f t="shared" si="60"/>
        <v>0</v>
      </c>
      <c r="AO96">
        <f t="shared" si="61"/>
        <v>0</v>
      </c>
      <c r="AP96">
        <f t="shared" si="62"/>
        <v>0</v>
      </c>
      <c r="AQ96">
        <f t="shared" si="72"/>
        <v>0</v>
      </c>
      <c r="AR96">
        <f t="shared" si="73"/>
        <v>0</v>
      </c>
      <c r="AS96">
        <f t="shared" si="63"/>
        <v>0</v>
      </c>
      <c r="AT96">
        <f t="shared" si="64"/>
        <v>0</v>
      </c>
      <c r="AU96">
        <f t="shared" si="65"/>
        <v>0</v>
      </c>
      <c r="AV96">
        <f t="shared" si="66"/>
        <v>0</v>
      </c>
      <c r="AW96">
        <f t="shared" si="67"/>
        <v>0</v>
      </c>
      <c r="AX96">
        <f t="shared" si="68"/>
        <v>0</v>
      </c>
      <c r="AY96">
        <f t="shared" si="69"/>
        <v>0</v>
      </c>
      <c r="AZ96" t="s">
        <v>246</v>
      </c>
    </row>
    <row r="97" spans="1:52">
      <c r="A97">
        <v>96</v>
      </c>
      <c r="B97" s="14">
        <v>46179</v>
      </c>
      <c r="C97" t="s">
        <v>18</v>
      </c>
      <c r="D97" t="s">
        <v>4</v>
      </c>
      <c r="E97" s="2" t="s">
        <v>488</v>
      </c>
      <c r="F97" t="s">
        <v>3</v>
      </c>
      <c r="G97">
        <v>0</v>
      </c>
      <c r="H97">
        <v>1</v>
      </c>
      <c r="I97">
        <v>2</v>
      </c>
      <c r="J97">
        <v>2.5</v>
      </c>
      <c r="K97" t="s">
        <v>487</v>
      </c>
      <c r="L97" t="s">
        <v>191</v>
      </c>
      <c r="M97" t="s">
        <v>11</v>
      </c>
      <c r="N97" t="s">
        <v>190</v>
      </c>
      <c r="O97">
        <f t="shared" si="37"/>
        <v>0</v>
      </c>
      <c r="P97">
        <f t="shared" si="38"/>
        <v>0</v>
      </c>
      <c r="Q97">
        <f t="shared" si="39"/>
        <v>0</v>
      </c>
      <c r="R97">
        <f t="shared" si="40"/>
        <v>0</v>
      </c>
      <c r="S97">
        <f t="shared" si="41"/>
        <v>0</v>
      </c>
      <c r="T97">
        <f t="shared" si="42"/>
        <v>0</v>
      </c>
      <c r="U97">
        <f t="shared" si="43"/>
        <v>0</v>
      </c>
      <c r="V97">
        <f t="shared" si="44"/>
        <v>0</v>
      </c>
      <c r="W97">
        <f t="shared" si="45"/>
        <v>0</v>
      </c>
      <c r="X97">
        <f t="shared" si="46"/>
        <v>0</v>
      </c>
      <c r="Y97">
        <f t="shared" si="47"/>
        <v>0</v>
      </c>
      <c r="Z97">
        <f t="shared" si="48"/>
        <v>0</v>
      </c>
      <c r="AA97">
        <f t="shared" si="49"/>
        <v>0</v>
      </c>
      <c r="AB97">
        <f t="shared" si="50"/>
        <v>0</v>
      </c>
      <c r="AC97">
        <f t="shared" si="51"/>
        <v>0</v>
      </c>
      <c r="AD97">
        <f t="shared" si="52"/>
        <v>0</v>
      </c>
      <c r="AE97">
        <f t="shared" si="53"/>
        <v>0</v>
      </c>
      <c r="AF97">
        <f t="shared" si="54"/>
        <v>0</v>
      </c>
      <c r="AG97">
        <f t="shared" si="55"/>
        <v>0</v>
      </c>
      <c r="AH97">
        <f t="shared" si="56"/>
        <v>0</v>
      </c>
      <c r="AI97">
        <f t="shared" si="57"/>
        <v>0</v>
      </c>
      <c r="AJ97">
        <f t="shared" si="58"/>
        <v>0</v>
      </c>
      <c r="AK97">
        <f t="shared" si="59"/>
        <v>0</v>
      </c>
      <c r="AL97">
        <f t="shared" si="70"/>
        <v>0</v>
      </c>
      <c r="AM97">
        <f t="shared" si="71"/>
        <v>0</v>
      </c>
      <c r="AN97">
        <f t="shared" si="60"/>
        <v>0</v>
      </c>
      <c r="AO97">
        <f t="shared" si="61"/>
        <v>0</v>
      </c>
      <c r="AP97">
        <f t="shared" si="62"/>
        <v>0</v>
      </c>
      <c r="AQ97">
        <f t="shared" si="72"/>
        <v>0</v>
      </c>
      <c r="AR97">
        <f t="shared" si="73"/>
        <v>0</v>
      </c>
      <c r="AS97">
        <f t="shared" si="63"/>
        <v>0</v>
      </c>
      <c r="AT97">
        <f t="shared" si="64"/>
        <v>0</v>
      </c>
      <c r="AU97">
        <f t="shared" si="65"/>
        <v>0</v>
      </c>
      <c r="AV97">
        <f t="shared" si="66"/>
        <v>0</v>
      </c>
      <c r="AW97">
        <f t="shared" si="67"/>
        <v>0</v>
      </c>
      <c r="AX97">
        <f t="shared" si="68"/>
        <v>0</v>
      </c>
      <c r="AY97">
        <f t="shared" si="69"/>
        <v>0</v>
      </c>
      <c r="AZ97" t="s">
        <v>246</v>
      </c>
    </row>
    <row r="98" spans="1:52">
      <c r="A98">
        <v>97</v>
      </c>
      <c r="B98" s="14">
        <v>46179</v>
      </c>
      <c r="C98" t="s">
        <v>18</v>
      </c>
      <c r="D98" t="s">
        <v>4</v>
      </c>
      <c r="E98" t="s">
        <v>486</v>
      </c>
      <c r="F98" t="s">
        <v>5</v>
      </c>
      <c r="G98">
        <v>0</v>
      </c>
      <c r="H98">
        <v>2</v>
      </c>
      <c r="I98" t="s">
        <v>248</v>
      </c>
      <c r="J98" t="s">
        <v>248</v>
      </c>
      <c r="K98" t="s">
        <v>485</v>
      </c>
      <c r="L98" t="s">
        <v>191</v>
      </c>
      <c r="M98" t="s">
        <v>11</v>
      </c>
      <c r="N98" t="s">
        <v>198</v>
      </c>
      <c r="O98">
        <f t="shared" si="37"/>
        <v>0</v>
      </c>
      <c r="P98">
        <f t="shared" si="38"/>
        <v>0</v>
      </c>
      <c r="Q98">
        <f t="shared" si="39"/>
        <v>0</v>
      </c>
      <c r="R98">
        <f t="shared" si="40"/>
        <v>0</v>
      </c>
      <c r="S98">
        <f t="shared" si="41"/>
        <v>0</v>
      </c>
      <c r="T98">
        <f t="shared" si="42"/>
        <v>0</v>
      </c>
      <c r="U98">
        <f t="shared" si="43"/>
        <v>0</v>
      </c>
      <c r="V98">
        <f t="shared" si="44"/>
        <v>0</v>
      </c>
      <c r="W98">
        <f t="shared" si="45"/>
        <v>0</v>
      </c>
      <c r="X98">
        <f t="shared" si="46"/>
        <v>0</v>
      </c>
      <c r="Y98">
        <f t="shared" si="47"/>
        <v>0</v>
      </c>
      <c r="Z98">
        <f t="shared" si="48"/>
        <v>0</v>
      </c>
      <c r="AA98">
        <f t="shared" si="49"/>
        <v>0</v>
      </c>
      <c r="AB98">
        <f t="shared" si="50"/>
        <v>0</v>
      </c>
      <c r="AC98">
        <f t="shared" si="51"/>
        <v>0</v>
      </c>
      <c r="AD98">
        <f t="shared" si="52"/>
        <v>0</v>
      </c>
      <c r="AE98">
        <f t="shared" si="53"/>
        <v>0</v>
      </c>
      <c r="AF98">
        <f t="shared" si="54"/>
        <v>0</v>
      </c>
      <c r="AG98">
        <f t="shared" si="55"/>
        <v>0</v>
      </c>
      <c r="AH98">
        <f t="shared" si="56"/>
        <v>1</v>
      </c>
      <c r="AI98">
        <f t="shared" si="57"/>
        <v>0</v>
      </c>
      <c r="AJ98">
        <f t="shared" si="58"/>
        <v>0</v>
      </c>
      <c r="AK98">
        <f t="shared" si="59"/>
        <v>0</v>
      </c>
      <c r="AL98">
        <f t="shared" si="70"/>
        <v>0</v>
      </c>
      <c r="AM98">
        <f t="shared" si="71"/>
        <v>0</v>
      </c>
      <c r="AN98">
        <f t="shared" si="60"/>
        <v>0</v>
      </c>
      <c r="AO98">
        <f t="shared" si="61"/>
        <v>0</v>
      </c>
      <c r="AP98">
        <f t="shared" si="62"/>
        <v>0</v>
      </c>
      <c r="AQ98">
        <f t="shared" si="72"/>
        <v>0</v>
      </c>
      <c r="AR98">
        <f t="shared" si="73"/>
        <v>0</v>
      </c>
      <c r="AS98">
        <f t="shared" si="63"/>
        <v>0</v>
      </c>
      <c r="AT98">
        <f t="shared" si="64"/>
        <v>0</v>
      </c>
      <c r="AU98">
        <f t="shared" si="65"/>
        <v>0</v>
      </c>
      <c r="AV98">
        <f t="shared" si="66"/>
        <v>0</v>
      </c>
      <c r="AW98">
        <f t="shared" si="67"/>
        <v>0</v>
      </c>
      <c r="AX98">
        <f t="shared" si="68"/>
        <v>0</v>
      </c>
      <c r="AY98">
        <f t="shared" si="69"/>
        <v>0</v>
      </c>
      <c r="AZ98" t="s">
        <v>246</v>
      </c>
    </row>
    <row r="99" spans="1:52">
      <c r="A99">
        <v>98</v>
      </c>
      <c r="B99" s="14">
        <v>46179</v>
      </c>
      <c r="C99" t="s">
        <v>18</v>
      </c>
      <c r="D99" t="s">
        <v>4</v>
      </c>
      <c r="E99" t="s">
        <v>484</v>
      </c>
      <c r="F99" t="s">
        <v>5</v>
      </c>
      <c r="G99">
        <v>0</v>
      </c>
      <c r="H99">
        <v>3</v>
      </c>
      <c r="I99">
        <v>2</v>
      </c>
      <c r="J99">
        <v>3.5</v>
      </c>
      <c r="K99" t="s">
        <v>483</v>
      </c>
      <c r="L99" t="s">
        <v>191</v>
      </c>
      <c r="M99" t="s">
        <v>11</v>
      </c>
      <c r="N99" t="s">
        <v>190</v>
      </c>
      <c r="O99">
        <f t="shared" si="37"/>
        <v>0</v>
      </c>
      <c r="P99">
        <f t="shared" si="38"/>
        <v>0</v>
      </c>
      <c r="Q99">
        <f t="shared" si="39"/>
        <v>0</v>
      </c>
      <c r="R99">
        <f t="shared" si="40"/>
        <v>0</v>
      </c>
      <c r="S99">
        <f t="shared" si="41"/>
        <v>1</v>
      </c>
      <c r="T99">
        <f t="shared" si="42"/>
        <v>0</v>
      </c>
      <c r="U99">
        <f t="shared" si="43"/>
        <v>0</v>
      </c>
      <c r="V99">
        <f t="shared" si="44"/>
        <v>0</v>
      </c>
      <c r="W99">
        <f t="shared" si="45"/>
        <v>0</v>
      </c>
      <c r="X99">
        <f t="shared" si="46"/>
        <v>0</v>
      </c>
      <c r="Y99">
        <f t="shared" si="47"/>
        <v>0</v>
      </c>
      <c r="Z99">
        <f t="shared" si="48"/>
        <v>0</v>
      </c>
      <c r="AA99">
        <f t="shared" si="49"/>
        <v>0</v>
      </c>
      <c r="AB99">
        <f t="shared" si="50"/>
        <v>0</v>
      </c>
      <c r="AC99">
        <f t="shared" si="51"/>
        <v>0</v>
      </c>
      <c r="AD99">
        <f t="shared" si="52"/>
        <v>0</v>
      </c>
      <c r="AE99">
        <f t="shared" si="53"/>
        <v>0</v>
      </c>
      <c r="AF99">
        <f t="shared" si="54"/>
        <v>0</v>
      </c>
      <c r="AG99">
        <f t="shared" si="55"/>
        <v>0</v>
      </c>
      <c r="AH99">
        <f t="shared" si="56"/>
        <v>0</v>
      </c>
      <c r="AI99">
        <f t="shared" si="57"/>
        <v>0</v>
      </c>
      <c r="AJ99">
        <f t="shared" si="58"/>
        <v>0</v>
      </c>
      <c r="AK99">
        <f t="shared" si="59"/>
        <v>0</v>
      </c>
      <c r="AL99">
        <f t="shared" si="70"/>
        <v>0</v>
      </c>
      <c r="AM99">
        <f t="shared" si="71"/>
        <v>0</v>
      </c>
      <c r="AN99">
        <f t="shared" si="60"/>
        <v>0</v>
      </c>
      <c r="AO99">
        <f t="shared" si="61"/>
        <v>0</v>
      </c>
      <c r="AP99">
        <f t="shared" si="62"/>
        <v>0</v>
      </c>
      <c r="AQ99">
        <f t="shared" si="72"/>
        <v>0</v>
      </c>
      <c r="AR99">
        <f t="shared" si="73"/>
        <v>0</v>
      </c>
      <c r="AS99">
        <f t="shared" si="63"/>
        <v>0</v>
      </c>
      <c r="AT99">
        <f t="shared" si="64"/>
        <v>0</v>
      </c>
      <c r="AU99">
        <f t="shared" si="65"/>
        <v>0</v>
      </c>
      <c r="AV99">
        <f t="shared" si="66"/>
        <v>0</v>
      </c>
      <c r="AW99">
        <f t="shared" si="67"/>
        <v>0</v>
      </c>
      <c r="AX99">
        <f t="shared" si="68"/>
        <v>0</v>
      </c>
      <c r="AY99">
        <f t="shared" si="69"/>
        <v>0</v>
      </c>
      <c r="AZ99" t="s">
        <v>246</v>
      </c>
    </row>
    <row r="100" spans="1:52">
      <c r="A100">
        <v>99</v>
      </c>
      <c r="B100" s="14">
        <v>46179</v>
      </c>
      <c r="C100" t="s">
        <v>18</v>
      </c>
      <c r="D100" t="s">
        <v>4</v>
      </c>
      <c r="E100" t="s">
        <v>482</v>
      </c>
      <c r="F100" t="s">
        <v>16</v>
      </c>
      <c r="G100">
        <v>0</v>
      </c>
      <c r="H100">
        <v>1</v>
      </c>
      <c r="I100">
        <v>4</v>
      </c>
      <c r="J100">
        <v>4.5</v>
      </c>
      <c r="K100" t="s">
        <v>481</v>
      </c>
      <c r="L100" t="s">
        <v>191</v>
      </c>
      <c r="M100" t="s">
        <v>11</v>
      </c>
      <c r="N100" t="s">
        <v>190</v>
      </c>
      <c r="O100">
        <f t="shared" si="37"/>
        <v>0</v>
      </c>
      <c r="P100">
        <f t="shared" si="38"/>
        <v>0</v>
      </c>
      <c r="Q100">
        <f t="shared" si="39"/>
        <v>0</v>
      </c>
      <c r="R100">
        <f t="shared" si="40"/>
        <v>0</v>
      </c>
      <c r="S100">
        <f t="shared" si="41"/>
        <v>0</v>
      </c>
      <c r="T100">
        <f t="shared" si="42"/>
        <v>0</v>
      </c>
      <c r="U100">
        <f t="shared" si="43"/>
        <v>0</v>
      </c>
      <c r="V100">
        <f t="shared" si="44"/>
        <v>0</v>
      </c>
      <c r="W100">
        <f t="shared" si="45"/>
        <v>0</v>
      </c>
      <c r="X100">
        <f t="shared" si="46"/>
        <v>0</v>
      </c>
      <c r="Y100">
        <f t="shared" si="47"/>
        <v>0</v>
      </c>
      <c r="Z100">
        <f t="shared" si="48"/>
        <v>0</v>
      </c>
      <c r="AA100">
        <f t="shared" si="49"/>
        <v>0</v>
      </c>
      <c r="AB100">
        <f t="shared" si="50"/>
        <v>0</v>
      </c>
      <c r="AC100">
        <f t="shared" si="51"/>
        <v>0</v>
      </c>
      <c r="AD100">
        <f t="shared" si="52"/>
        <v>0</v>
      </c>
      <c r="AE100">
        <f t="shared" si="53"/>
        <v>0</v>
      </c>
      <c r="AF100">
        <f t="shared" si="54"/>
        <v>0</v>
      </c>
      <c r="AG100">
        <f t="shared" si="55"/>
        <v>0</v>
      </c>
      <c r="AH100">
        <f t="shared" si="56"/>
        <v>0</v>
      </c>
      <c r="AI100">
        <f t="shared" si="57"/>
        <v>0</v>
      </c>
      <c r="AJ100">
        <f t="shared" si="58"/>
        <v>0</v>
      </c>
      <c r="AK100">
        <f t="shared" si="59"/>
        <v>0</v>
      </c>
      <c r="AL100">
        <f t="shared" si="70"/>
        <v>0</v>
      </c>
      <c r="AM100">
        <f t="shared" si="71"/>
        <v>0</v>
      </c>
      <c r="AN100">
        <f t="shared" si="60"/>
        <v>0</v>
      </c>
      <c r="AO100">
        <f t="shared" si="61"/>
        <v>0</v>
      </c>
      <c r="AP100">
        <f t="shared" si="62"/>
        <v>0</v>
      </c>
      <c r="AQ100">
        <f t="shared" si="72"/>
        <v>0</v>
      </c>
      <c r="AR100">
        <f t="shared" si="73"/>
        <v>0</v>
      </c>
      <c r="AS100">
        <f t="shared" si="63"/>
        <v>0</v>
      </c>
      <c r="AT100">
        <f t="shared" si="64"/>
        <v>0</v>
      </c>
      <c r="AU100">
        <f t="shared" si="65"/>
        <v>0</v>
      </c>
      <c r="AV100">
        <f t="shared" si="66"/>
        <v>0</v>
      </c>
      <c r="AW100">
        <f t="shared" si="67"/>
        <v>0</v>
      </c>
      <c r="AX100">
        <f t="shared" si="68"/>
        <v>0</v>
      </c>
      <c r="AY100">
        <f t="shared" si="69"/>
        <v>0</v>
      </c>
      <c r="AZ100" t="s">
        <v>246</v>
      </c>
    </row>
    <row r="101" spans="1:52">
      <c r="A101">
        <v>100</v>
      </c>
      <c r="B101" s="14">
        <v>46179</v>
      </c>
      <c r="C101" t="s">
        <v>18</v>
      </c>
      <c r="D101" t="s">
        <v>4</v>
      </c>
      <c r="E101" t="s">
        <v>480</v>
      </c>
      <c r="F101" t="s">
        <v>12</v>
      </c>
      <c r="G101">
        <v>0</v>
      </c>
      <c r="H101">
        <v>2</v>
      </c>
      <c r="I101" t="s">
        <v>248</v>
      </c>
      <c r="J101" t="s">
        <v>248</v>
      </c>
      <c r="K101" t="s">
        <v>479</v>
      </c>
      <c r="L101" t="s">
        <v>191</v>
      </c>
      <c r="M101" t="s">
        <v>11</v>
      </c>
      <c r="N101" t="s">
        <v>190</v>
      </c>
      <c r="O101">
        <f t="shared" si="37"/>
        <v>0</v>
      </c>
      <c r="P101">
        <f t="shared" si="38"/>
        <v>0</v>
      </c>
      <c r="Q101">
        <f t="shared" si="39"/>
        <v>0</v>
      </c>
      <c r="R101">
        <f t="shared" si="40"/>
        <v>0</v>
      </c>
      <c r="S101">
        <f t="shared" si="41"/>
        <v>0</v>
      </c>
      <c r="T101">
        <f t="shared" si="42"/>
        <v>0</v>
      </c>
      <c r="U101">
        <f t="shared" si="43"/>
        <v>0</v>
      </c>
      <c r="V101">
        <f t="shared" si="44"/>
        <v>0</v>
      </c>
      <c r="W101">
        <f t="shared" si="45"/>
        <v>0</v>
      </c>
      <c r="X101">
        <f t="shared" si="46"/>
        <v>0</v>
      </c>
      <c r="Y101">
        <f t="shared" si="47"/>
        <v>0</v>
      </c>
      <c r="Z101">
        <f t="shared" si="48"/>
        <v>0</v>
      </c>
      <c r="AA101">
        <f t="shared" si="49"/>
        <v>0</v>
      </c>
      <c r="AB101">
        <f t="shared" si="50"/>
        <v>0</v>
      </c>
      <c r="AC101">
        <f t="shared" si="51"/>
        <v>0</v>
      </c>
      <c r="AD101">
        <f t="shared" si="52"/>
        <v>0</v>
      </c>
      <c r="AE101">
        <f t="shared" si="53"/>
        <v>0</v>
      </c>
      <c r="AF101">
        <f t="shared" si="54"/>
        <v>0</v>
      </c>
      <c r="AG101">
        <f t="shared" si="55"/>
        <v>0</v>
      </c>
      <c r="AH101">
        <f t="shared" si="56"/>
        <v>0</v>
      </c>
      <c r="AI101">
        <f t="shared" si="57"/>
        <v>0</v>
      </c>
      <c r="AJ101">
        <f t="shared" si="58"/>
        <v>0</v>
      </c>
      <c r="AK101">
        <f t="shared" si="59"/>
        <v>0</v>
      </c>
      <c r="AL101">
        <f t="shared" si="70"/>
        <v>0</v>
      </c>
      <c r="AM101">
        <f t="shared" si="71"/>
        <v>0</v>
      </c>
      <c r="AN101">
        <f t="shared" si="60"/>
        <v>0</v>
      </c>
      <c r="AO101">
        <f t="shared" si="61"/>
        <v>0</v>
      </c>
      <c r="AP101">
        <f t="shared" si="62"/>
        <v>0</v>
      </c>
      <c r="AQ101">
        <f t="shared" si="72"/>
        <v>0</v>
      </c>
      <c r="AR101">
        <f t="shared" si="73"/>
        <v>0</v>
      </c>
      <c r="AS101">
        <f t="shared" si="63"/>
        <v>0</v>
      </c>
      <c r="AT101">
        <f t="shared" si="64"/>
        <v>0</v>
      </c>
      <c r="AU101">
        <f t="shared" si="65"/>
        <v>0</v>
      </c>
      <c r="AV101">
        <f t="shared" si="66"/>
        <v>0</v>
      </c>
      <c r="AW101">
        <f t="shared" si="67"/>
        <v>0</v>
      </c>
      <c r="AX101">
        <f t="shared" si="68"/>
        <v>0</v>
      </c>
      <c r="AY101">
        <f t="shared" si="69"/>
        <v>0</v>
      </c>
      <c r="AZ101" t="s">
        <v>246</v>
      </c>
    </row>
    <row r="102" spans="1:52">
      <c r="A102">
        <v>101</v>
      </c>
      <c r="B102" s="14">
        <v>46179</v>
      </c>
      <c r="C102" t="s">
        <v>18</v>
      </c>
      <c r="D102" t="s">
        <v>2</v>
      </c>
      <c r="E102" t="s">
        <v>478</v>
      </c>
      <c r="F102" t="s">
        <v>14</v>
      </c>
      <c r="G102">
        <v>0</v>
      </c>
      <c r="H102">
        <v>4</v>
      </c>
      <c r="I102" t="s">
        <v>248</v>
      </c>
      <c r="J102" t="s">
        <v>248</v>
      </c>
      <c r="K102" t="s">
        <v>477</v>
      </c>
      <c r="L102" t="s">
        <v>467</v>
      </c>
      <c r="M102" t="s">
        <v>11</v>
      </c>
      <c r="N102" t="s">
        <v>198</v>
      </c>
      <c r="O102">
        <f t="shared" si="37"/>
        <v>1</v>
      </c>
      <c r="P102">
        <f t="shared" si="38"/>
        <v>0</v>
      </c>
      <c r="Q102">
        <f t="shared" si="39"/>
        <v>0</v>
      </c>
      <c r="R102">
        <f t="shared" si="40"/>
        <v>1</v>
      </c>
      <c r="S102">
        <f t="shared" si="41"/>
        <v>0</v>
      </c>
      <c r="T102">
        <f t="shared" si="42"/>
        <v>0</v>
      </c>
      <c r="U102">
        <f t="shared" si="43"/>
        <v>0</v>
      </c>
      <c r="V102">
        <f t="shared" si="44"/>
        <v>0</v>
      </c>
      <c r="W102">
        <f t="shared" si="45"/>
        <v>0</v>
      </c>
      <c r="X102">
        <f t="shared" si="46"/>
        <v>0</v>
      </c>
      <c r="Y102">
        <f t="shared" si="47"/>
        <v>0</v>
      </c>
      <c r="Z102">
        <f t="shared" si="48"/>
        <v>0</v>
      </c>
      <c r="AA102">
        <f t="shared" si="49"/>
        <v>0</v>
      </c>
      <c r="AB102">
        <f t="shared" si="50"/>
        <v>0</v>
      </c>
      <c r="AC102">
        <f t="shared" si="51"/>
        <v>1</v>
      </c>
      <c r="AD102">
        <f t="shared" si="52"/>
        <v>0</v>
      </c>
      <c r="AE102">
        <f t="shared" si="53"/>
        <v>0</v>
      </c>
      <c r="AF102">
        <f t="shared" si="54"/>
        <v>0</v>
      </c>
      <c r="AG102">
        <f t="shared" si="55"/>
        <v>0</v>
      </c>
      <c r="AH102">
        <f t="shared" si="56"/>
        <v>0</v>
      </c>
      <c r="AI102">
        <f t="shared" si="57"/>
        <v>0</v>
      </c>
      <c r="AJ102">
        <f t="shared" si="58"/>
        <v>0</v>
      </c>
      <c r="AK102">
        <f t="shared" si="59"/>
        <v>0</v>
      </c>
      <c r="AL102">
        <f t="shared" si="70"/>
        <v>0</v>
      </c>
      <c r="AM102">
        <f t="shared" si="71"/>
        <v>1</v>
      </c>
      <c r="AN102">
        <f t="shared" si="60"/>
        <v>0</v>
      </c>
      <c r="AO102">
        <f t="shared" si="61"/>
        <v>0</v>
      </c>
      <c r="AP102">
        <f t="shared" si="62"/>
        <v>0</v>
      </c>
      <c r="AQ102">
        <f t="shared" si="72"/>
        <v>0</v>
      </c>
      <c r="AR102">
        <f t="shared" si="73"/>
        <v>0</v>
      </c>
      <c r="AS102">
        <f t="shared" si="63"/>
        <v>0</v>
      </c>
      <c r="AT102">
        <f t="shared" si="64"/>
        <v>0</v>
      </c>
      <c r="AU102">
        <f t="shared" si="65"/>
        <v>0</v>
      </c>
      <c r="AV102">
        <f t="shared" si="66"/>
        <v>0</v>
      </c>
      <c r="AW102">
        <f t="shared" si="67"/>
        <v>0</v>
      </c>
      <c r="AX102">
        <f t="shared" si="68"/>
        <v>0</v>
      </c>
      <c r="AY102">
        <f t="shared" si="69"/>
        <v>0</v>
      </c>
      <c r="AZ102" t="s">
        <v>246</v>
      </c>
    </row>
    <row r="103" spans="1:52">
      <c r="A103">
        <v>102</v>
      </c>
      <c r="B103" s="14">
        <v>46179</v>
      </c>
      <c r="C103" t="s">
        <v>18</v>
      </c>
      <c r="D103" t="s">
        <v>2</v>
      </c>
      <c r="E103" t="s">
        <v>476</v>
      </c>
      <c r="F103" t="s">
        <v>13</v>
      </c>
      <c r="G103">
        <v>0</v>
      </c>
      <c r="H103">
        <v>4</v>
      </c>
      <c r="I103" t="s">
        <v>248</v>
      </c>
      <c r="J103" t="s">
        <v>248</v>
      </c>
      <c r="K103" t="s">
        <v>475</v>
      </c>
      <c r="L103" t="s">
        <v>191</v>
      </c>
      <c r="M103" t="s">
        <v>11</v>
      </c>
      <c r="N103" t="s">
        <v>198</v>
      </c>
      <c r="O103">
        <f t="shared" si="37"/>
        <v>1</v>
      </c>
      <c r="P103">
        <f t="shared" si="38"/>
        <v>1</v>
      </c>
      <c r="Q103">
        <f t="shared" si="39"/>
        <v>0</v>
      </c>
      <c r="R103">
        <f t="shared" si="40"/>
        <v>0</v>
      </c>
      <c r="S103">
        <f t="shared" si="41"/>
        <v>0</v>
      </c>
      <c r="T103">
        <f t="shared" si="42"/>
        <v>0</v>
      </c>
      <c r="U103">
        <f t="shared" si="43"/>
        <v>0</v>
      </c>
      <c r="V103">
        <f t="shared" si="44"/>
        <v>0</v>
      </c>
      <c r="W103">
        <f t="shared" si="45"/>
        <v>0</v>
      </c>
      <c r="X103">
        <f t="shared" si="46"/>
        <v>0</v>
      </c>
      <c r="Y103">
        <f t="shared" si="47"/>
        <v>0</v>
      </c>
      <c r="Z103">
        <f t="shared" si="48"/>
        <v>0</v>
      </c>
      <c r="AA103">
        <f t="shared" si="49"/>
        <v>0</v>
      </c>
      <c r="AB103">
        <f t="shared" si="50"/>
        <v>0</v>
      </c>
      <c r="AC103">
        <f t="shared" si="51"/>
        <v>0</v>
      </c>
      <c r="AD103">
        <f t="shared" si="52"/>
        <v>0</v>
      </c>
      <c r="AE103">
        <f t="shared" si="53"/>
        <v>0</v>
      </c>
      <c r="AF103">
        <f t="shared" si="54"/>
        <v>0</v>
      </c>
      <c r="AG103">
        <f t="shared" si="55"/>
        <v>0</v>
      </c>
      <c r="AH103">
        <f t="shared" si="56"/>
        <v>0</v>
      </c>
      <c r="AI103">
        <f t="shared" si="57"/>
        <v>0</v>
      </c>
      <c r="AJ103">
        <f t="shared" si="58"/>
        <v>0</v>
      </c>
      <c r="AK103">
        <f t="shared" si="59"/>
        <v>0</v>
      </c>
      <c r="AL103">
        <f t="shared" si="70"/>
        <v>0</v>
      </c>
      <c r="AM103">
        <f t="shared" si="71"/>
        <v>0</v>
      </c>
      <c r="AN103">
        <f t="shared" si="60"/>
        <v>0</v>
      </c>
      <c r="AO103">
        <f t="shared" si="61"/>
        <v>0</v>
      </c>
      <c r="AP103">
        <f t="shared" si="62"/>
        <v>0</v>
      </c>
      <c r="AQ103">
        <f t="shared" si="72"/>
        <v>0</v>
      </c>
      <c r="AR103">
        <f t="shared" si="73"/>
        <v>0</v>
      </c>
      <c r="AS103">
        <f t="shared" si="63"/>
        <v>0</v>
      </c>
      <c r="AT103">
        <f t="shared" si="64"/>
        <v>0</v>
      </c>
      <c r="AU103">
        <f t="shared" si="65"/>
        <v>0</v>
      </c>
      <c r="AV103">
        <f t="shared" si="66"/>
        <v>0</v>
      </c>
      <c r="AW103">
        <f t="shared" si="67"/>
        <v>0</v>
      </c>
      <c r="AX103">
        <f t="shared" si="68"/>
        <v>0</v>
      </c>
      <c r="AY103">
        <f t="shared" si="69"/>
        <v>0</v>
      </c>
      <c r="AZ103" t="s">
        <v>246</v>
      </c>
    </row>
    <row r="104" spans="1:52">
      <c r="A104">
        <v>103</v>
      </c>
      <c r="B104" s="14">
        <v>46179</v>
      </c>
      <c r="C104" t="s">
        <v>18</v>
      </c>
      <c r="D104" t="s">
        <v>2</v>
      </c>
      <c r="E104" t="s">
        <v>474</v>
      </c>
      <c r="F104" t="s">
        <v>5</v>
      </c>
      <c r="G104">
        <v>0</v>
      </c>
      <c r="H104">
        <v>2</v>
      </c>
      <c r="I104">
        <v>2.25</v>
      </c>
      <c r="J104">
        <v>4.5</v>
      </c>
      <c r="K104" t="s">
        <v>473</v>
      </c>
      <c r="L104" s="2" t="s">
        <v>472</v>
      </c>
      <c r="M104" t="s">
        <v>11</v>
      </c>
      <c r="N104" t="s">
        <v>190</v>
      </c>
      <c r="O104">
        <f t="shared" si="37"/>
        <v>1</v>
      </c>
      <c r="P104">
        <f t="shared" si="38"/>
        <v>0</v>
      </c>
      <c r="Q104">
        <f t="shared" si="39"/>
        <v>0</v>
      </c>
      <c r="R104">
        <f t="shared" si="40"/>
        <v>0</v>
      </c>
      <c r="S104">
        <f t="shared" si="41"/>
        <v>0</v>
      </c>
      <c r="T104">
        <f t="shared" si="42"/>
        <v>0</v>
      </c>
      <c r="U104">
        <f t="shared" si="43"/>
        <v>0</v>
      </c>
      <c r="V104">
        <f t="shared" si="44"/>
        <v>0</v>
      </c>
      <c r="W104">
        <f t="shared" si="45"/>
        <v>0</v>
      </c>
      <c r="X104">
        <f t="shared" si="46"/>
        <v>0</v>
      </c>
      <c r="Y104">
        <f t="shared" si="47"/>
        <v>0</v>
      </c>
      <c r="Z104">
        <f t="shared" si="48"/>
        <v>0</v>
      </c>
      <c r="AA104">
        <f t="shared" si="49"/>
        <v>0</v>
      </c>
      <c r="AB104">
        <f t="shared" si="50"/>
        <v>0</v>
      </c>
      <c r="AC104">
        <f t="shared" si="51"/>
        <v>0</v>
      </c>
      <c r="AD104">
        <f t="shared" si="52"/>
        <v>0</v>
      </c>
      <c r="AE104">
        <f t="shared" si="53"/>
        <v>0</v>
      </c>
      <c r="AF104">
        <f t="shared" si="54"/>
        <v>0</v>
      </c>
      <c r="AG104">
        <f t="shared" si="55"/>
        <v>0</v>
      </c>
      <c r="AH104">
        <f t="shared" si="56"/>
        <v>0</v>
      </c>
      <c r="AI104">
        <f t="shared" si="57"/>
        <v>0</v>
      </c>
      <c r="AJ104">
        <f t="shared" si="58"/>
        <v>0</v>
      </c>
      <c r="AK104">
        <f t="shared" si="59"/>
        <v>0</v>
      </c>
      <c r="AL104">
        <f t="shared" si="70"/>
        <v>0</v>
      </c>
      <c r="AM104">
        <f t="shared" si="71"/>
        <v>0</v>
      </c>
      <c r="AN104">
        <f t="shared" si="60"/>
        <v>0</v>
      </c>
      <c r="AO104">
        <f t="shared" si="61"/>
        <v>0</v>
      </c>
      <c r="AP104">
        <f t="shared" si="62"/>
        <v>0</v>
      </c>
      <c r="AQ104">
        <f t="shared" si="72"/>
        <v>0</v>
      </c>
      <c r="AR104">
        <f t="shared" si="73"/>
        <v>0</v>
      </c>
      <c r="AS104">
        <f t="shared" si="63"/>
        <v>0</v>
      </c>
      <c r="AT104">
        <f t="shared" si="64"/>
        <v>0</v>
      </c>
      <c r="AU104">
        <f t="shared" si="65"/>
        <v>0</v>
      </c>
      <c r="AV104">
        <f t="shared" si="66"/>
        <v>0</v>
      </c>
      <c r="AW104">
        <f t="shared" si="67"/>
        <v>0</v>
      </c>
      <c r="AX104">
        <f t="shared" si="68"/>
        <v>0</v>
      </c>
      <c r="AY104">
        <f t="shared" si="69"/>
        <v>0</v>
      </c>
      <c r="AZ104" t="s">
        <v>246</v>
      </c>
    </row>
    <row r="105" spans="1:52">
      <c r="A105">
        <v>104</v>
      </c>
      <c r="B105" s="14">
        <v>46179</v>
      </c>
      <c r="C105" t="s">
        <v>18</v>
      </c>
      <c r="D105" t="s">
        <v>4</v>
      </c>
      <c r="E105" t="s">
        <v>471</v>
      </c>
      <c r="F105" t="s">
        <v>5</v>
      </c>
      <c r="G105">
        <v>0</v>
      </c>
      <c r="H105">
        <v>3</v>
      </c>
      <c r="I105" t="s">
        <v>248</v>
      </c>
      <c r="J105" t="s">
        <v>248</v>
      </c>
      <c r="K105" t="s">
        <v>470</v>
      </c>
      <c r="L105" t="s">
        <v>191</v>
      </c>
      <c r="M105" t="s">
        <v>11</v>
      </c>
      <c r="N105" t="s">
        <v>190</v>
      </c>
      <c r="O105">
        <f t="shared" si="37"/>
        <v>0</v>
      </c>
      <c r="P105">
        <f t="shared" si="38"/>
        <v>0</v>
      </c>
      <c r="Q105">
        <f t="shared" si="39"/>
        <v>0</v>
      </c>
      <c r="R105">
        <f t="shared" si="40"/>
        <v>0</v>
      </c>
      <c r="S105">
        <f t="shared" si="41"/>
        <v>1</v>
      </c>
      <c r="T105">
        <f t="shared" si="42"/>
        <v>0</v>
      </c>
      <c r="U105">
        <f t="shared" si="43"/>
        <v>0</v>
      </c>
      <c r="V105">
        <f t="shared" si="44"/>
        <v>0</v>
      </c>
      <c r="W105">
        <f t="shared" si="45"/>
        <v>0</v>
      </c>
      <c r="X105">
        <f t="shared" si="46"/>
        <v>0</v>
      </c>
      <c r="Y105">
        <f t="shared" si="47"/>
        <v>0</v>
      </c>
      <c r="Z105">
        <f t="shared" si="48"/>
        <v>0</v>
      </c>
      <c r="AA105">
        <f t="shared" si="49"/>
        <v>0</v>
      </c>
      <c r="AB105">
        <f t="shared" si="50"/>
        <v>0</v>
      </c>
      <c r="AC105">
        <f t="shared" si="51"/>
        <v>0</v>
      </c>
      <c r="AD105">
        <f t="shared" si="52"/>
        <v>0</v>
      </c>
      <c r="AE105">
        <f t="shared" si="53"/>
        <v>0</v>
      </c>
      <c r="AF105">
        <f t="shared" si="54"/>
        <v>0</v>
      </c>
      <c r="AG105">
        <f t="shared" si="55"/>
        <v>0</v>
      </c>
      <c r="AH105">
        <f t="shared" si="56"/>
        <v>0</v>
      </c>
      <c r="AI105">
        <f t="shared" si="57"/>
        <v>0</v>
      </c>
      <c r="AJ105">
        <f t="shared" si="58"/>
        <v>0</v>
      </c>
      <c r="AK105">
        <f t="shared" si="59"/>
        <v>0</v>
      </c>
      <c r="AL105">
        <f t="shared" si="70"/>
        <v>0</v>
      </c>
      <c r="AM105">
        <f t="shared" si="71"/>
        <v>0</v>
      </c>
      <c r="AN105">
        <f t="shared" si="60"/>
        <v>0</v>
      </c>
      <c r="AO105">
        <f t="shared" si="61"/>
        <v>0</v>
      </c>
      <c r="AP105">
        <f t="shared" si="62"/>
        <v>0</v>
      </c>
      <c r="AQ105">
        <f t="shared" si="72"/>
        <v>0</v>
      </c>
      <c r="AR105">
        <f t="shared" si="73"/>
        <v>0</v>
      </c>
      <c r="AS105">
        <f t="shared" si="63"/>
        <v>0</v>
      </c>
      <c r="AT105">
        <f t="shared" si="64"/>
        <v>0</v>
      </c>
      <c r="AU105">
        <f t="shared" si="65"/>
        <v>0</v>
      </c>
      <c r="AV105">
        <f t="shared" si="66"/>
        <v>0</v>
      </c>
      <c r="AW105">
        <f t="shared" si="67"/>
        <v>0</v>
      </c>
      <c r="AX105">
        <f t="shared" si="68"/>
        <v>0</v>
      </c>
      <c r="AY105">
        <f t="shared" si="69"/>
        <v>0</v>
      </c>
      <c r="AZ105" t="s">
        <v>246</v>
      </c>
    </row>
    <row r="106" spans="1:52">
      <c r="A106">
        <v>105</v>
      </c>
      <c r="B106" s="14">
        <v>46179</v>
      </c>
      <c r="C106" t="s">
        <v>18</v>
      </c>
      <c r="D106" t="s">
        <v>2</v>
      </c>
      <c r="E106" t="s">
        <v>469</v>
      </c>
      <c r="F106" t="s">
        <v>3</v>
      </c>
      <c r="G106">
        <v>0</v>
      </c>
      <c r="H106">
        <v>2</v>
      </c>
      <c r="I106" t="s">
        <v>248</v>
      </c>
      <c r="J106" t="s">
        <v>248</v>
      </c>
      <c r="K106" t="s">
        <v>468</v>
      </c>
      <c r="L106" t="s">
        <v>467</v>
      </c>
      <c r="M106" t="s">
        <v>11</v>
      </c>
      <c r="N106" t="s">
        <v>190</v>
      </c>
      <c r="O106">
        <f t="shared" si="37"/>
        <v>0</v>
      </c>
      <c r="P106">
        <f t="shared" si="38"/>
        <v>0</v>
      </c>
      <c r="Q106">
        <f t="shared" si="39"/>
        <v>1</v>
      </c>
      <c r="R106">
        <f t="shared" si="40"/>
        <v>0</v>
      </c>
      <c r="S106">
        <f t="shared" si="41"/>
        <v>1</v>
      </c>
      <c r="T106">
        <f t="shared" si="42"/>
        <v>0</v>
      </c>
      <c r="U106">
        <f t="shared" si="43"/>
        <v>0</v>
      </c>
      <c r="V106">
        <f t="shared" si="44"/>
        <v>0</v>
      </c>
      <c r="W106">
        <f t="shared" si="45"/>
        <v>0</v>
      </c>
      <c r="X106">
        <f t="shared" si="46"/>
        <v>0</v>
      </c>
      <c r="Y106">
        <f t="shared" si="47"/>
        <v>0</v>
      </c>
      <c r="Z106">
        <f t="shared" si="48"/>
        <v>0</v>
      </c>
      <c r="AA106">
        <f t="shared" si="49"/>
        <v>0</v>
      </c>
      <c r="AB106">
        <f t="shared" si="50"/>
        <v>0</v>
      </c>
      <c r="AC106">
        <f t="shared" si="51"/>
        <v>0</v>
      </c>
      <c r="AD106">
        <f t="shared" si="52"/>
        <v>0</v>
      </c>
      <c r="AE106">
        <f t="shared" si="53"/>
        <v>0</v>
      </c>
      <c r="AF106">
        <f t="shared" si="54"/>
        <v>0</v>
      </c>
      <c r="AG106">
        <f t="shared" si="55"/>
        <v>0</v>
      </c>
      <c r="AH106">
        <f t="shared" si="56"/>
        <v>0</v>
      </c>
      <c r="AI106">
        <f t="shared" si="57"/>
        <v>0</v>
      </c>
      <c r="AJ106">
        <f t="shared" si="58"/>
        <v>0</v>
      </c>
      <c r="AK106">
        <f t="shared" si="59"/>
        <v>0</v>
      </c>
      <c r="AL106">
        <f t="shared" si="70"/>
        <v>0</v>
      </c>
      <c r="AM106">
        <f t="shared" si="71"/>
        <v>1</v>
      </c>
      <c r="AN106">
        <f t="shared" si="60"/>
        <v>0</v>
      </c>
      <c r="AO106">
        <f t="shared" si="61"/>
        <v>0</v>
      </c>
      <c r="AP106">
        <f t="shared" si="62"/>
        <v>0</v>
      </c>
      <c r="AQ106">
        <f t="shared" si="72"/>
        <v>0</v>
      </c>
      <c r="AR106">
        <f t="shared" si="73"/>
        <v>0</v>
      </c>
      <c r="AS106">
        <f t="shared" si="63"/>
        <v>0</v>
      </c>
      <c r="AT106">
        <f t="shared" si="64"/>
        <v>0</v>
      </c>
      <c r="AU106">
        <f t="shared" si="65"/>
        <v>0</v>
      </c>
      <c r="AV106">
        <f t="shared" si="66"/>
        <v>0</v>
      </c>
      <c r="AW106">
        <f t="shared" si="67"/>
        <v>0</v>
      </c>
      <c r="AX106">
        <f t="shared" si="68"/>
        <v>0</v>
      </c>
      <c r="AY106">
        <f t="shared" si="69"/>
        <v>0</v>
      </c>
      <c r="AZ106" t="s">
        <v>246</v>
      </c>
    </row>
    <row r="107" spans="1:52">
      <c r="A107">
        <v>106</v>
      </c>
      <c r="B107" s="14">
        <v>46179</v>
      </c>
      <c r="C107" t="s">
        <v>18</v>
      </c>
      <c r="D107" t="s">
        <v>2</v>
      </c>
      <c r="E107" t="s">
        <v>466</v>
      </c>
      <c r="F107" t="s">
        <v>3</v>
      </c>
      <c r="G107">
        <v>0</v>
      </c>
      <c r="H107">
        <v>1</v>
      </c>
      <c r="I107" t="s">
        <v>248</v>
      </c>
      <c r="J107" t="s">
        <v>248</v>
      </c>
      <c r="K107" t="s">
        <v>465</v>
      </c>
      <c r="L107" t="s">
        <v>191</v>
      </c>
      <c r="M107" t="s">
        <v>10</v>
      </c>
      <c r="N107" t="s">
        <v>190</v>
      </c>
      <c r="O107">
        <f t="shared" si="37"/>
        <v>0</v>
      </c>
      <c r="P107">
        <f t="shared" si="38"/>
        <v>0</v>
      </c>
      <c r="Q107">
        <f t="shared" si="39"/>
        <v>0</v>
      </c>
      <c r="R107">
        <f t="shared" si="40"/>
        <v>0</v>
      </c>
      <c r="S107">
        <f t="shared" si="41"/>
        <v>0</v>
      </c>
      <c r="T107">
        <f t="shared" si="42"/>
        <v>0</v>
      </c>
      <c r="U107">
        <f t="shared" si="43"/>
        <v>0</v>
      </c>
      <c r="V107">
        <f t="shared" si="44"/>
        <v>0</v>
      </c>
      <c r="W107">
        <f t="shared" si="45"/>
        <v>0</v>
      </c>
      <c r="X107">
        <f t="shared" si="46"/>
        <v>0</v>
      </c>
      <c r="Y107">
        <f t="shared" si="47"/>
        <v>0</v>
      </c>
      <c r="Z107">
        <f t="shared" si="48"/>
        <v>0</v>
      </c>
      <c r="AA107">
        <f t="shared" si="49"/>
        <v>0</v>
      </c>
      <c r="AB107">
        <f t="shared" si="50"/>
        <v>0</v>
      </c>
      <c r="AC107">
        <f t="shared" si="51"/>
        <v>0</v>
      </c>
      <c r="AD107">
        <f t="shared" si="52"/>
        <v>0</v>
      </c>
      <c r="AE107">
        <f t="shared" si="53"/>
        <v>0</v>
      </c>
      <c r="AF107">
        <f t="shared" si="54"/>
        <v>0</v>
      </c>
      <c r="AG107">
        <f t="shared" si="55"/>
        <v>0</v>
      </c>
      <c r="AH107">
        <f t="shared" si="56"/>
        <v>0</v>
      </c>
      <c r="AI107">
        <f t="shared" si="57"/>
        <v>0</v>
      </c>
      <c r="AJ107">
        <f t="shared" si="58"/>
        <v>0</v>
      </c>
      <c r="AK107">
        <f t="shared" si="59"/>
        <v>0</v>
      </c>
      <c r="AL107">
        <f t="shared" si="70"/>
        <v>0</v>
      </c>
      <c r="AM107">
        <f t="shared" si="71"/>
        <v>0</v>
      </c>
      <c r="AN107">
        <f t="shared" si="60"/>
        <v>0</v>
      </c>
      <c r="AO107">
        <f t="shared" si="61"/>
        <v>0</v>
      </c>
      <c r="AP107">
        <f t="shared" si="62"/>
        <v>0</v>
      </c>
      <c r="AQ107">
        <f t="shared" si="72"/>
        <v>0</v>
      </c>
      <c r="AR107">
        <f t="shared" si="73"/>
        <v>0</v>
      </c>
      <c r="AS107">
        <f t="shared" si="63"/>
        <v>0</v>
      </c>
      <c r="AT107">
        <f t="shared" si="64"/>
        <v>0</v>
      </c>
      <c r="AU107">
        <f t="shared" si="65"/>
        <v>0</v>
      </c>
      <c r="AV107">
        <f t="shared" si="66"/>
        <v>0</v>
      </c>
      <c r="AW107">
        <f t="shared" si="67"/>
        <v>0</v>
      </c>
      <c r="AX107">
        <f t="shared" si="68"/>
        <v>0</v>
      </c>
      <c r="AY107">
        <f t="shared" si="69"/>
        <v>0</v>
      </c>
      <c r="AZ107" t="s">
        <v>246</v>
      </c>
    </row>
    <row r="108" spans="1:52" ht="28.8">
      <c r="A108">
        <v>107</v>
      </c>
      <c r="B108" s="14">
        <v>46179</v>
      </c>
      <c r="C108" t="s">
        <v>18</v>
      </c>
      <c r="D108" t="s">
        <v>2</v>
      </c>
      <c r="E108" s="2" t="s">
        <v>464</v>
      </c>
      <c r="F108" t="s">
        <v>5</v>
      </c>
      <c r="G108">
        <v>0</v>
      </c>
      <c r="H108">
        <v>2</v>
      </c>
      <c r="I108">
        <v>3.25</v>
      </c>
      <c r="J108">
        <v>8.25</v>
      </c>
      <c r="K108" t="s">
        <v>463</v>
      </c>
      <c r="L108" t="s">
        <v>191</v>
      </c>
      <c r="M108" t="s">
        <v>10</v>
      </c>
      <c r="N108" t="s">
        <v>190</v>
      </c>
      <c r="O108">
        <f t="shared" si="37"/>
        <v>1</v>
      </c>
      <c r="P108">
        <f t="shared" si="38"/>
        <v>0</v>
      </c>
      <c r="Q108">
        <f t="shared" si="39"/>
        <v>1</v>
      </c>
      <c r="R108">
        <f t="shared" si="40"/>
        <v>1</v>
      </c>
      <c r="S108">
        <f t="shared" si="41"/>
        <v>1</v>
      </c>
      <c r="T108">
        <f t="shared" si="42"/>
        <v>0</v>
      </c>
      <c r="U108">
        <f t="shared" si="43"/>
        <v>0</v>
      </c>
      <c r="V108">
        <f t="shared" si="44"/>
        <v>0</v>
      </c>
      <c r="W108">
        <f t="shared" si="45"/>
        <v>0</v>
      </c>
      <c r="X108">
        <f t="shared" si="46"/>
        <v>0</v>
      </c>
      <c r="Y108">
        <f t="shared" si="47"/>
        <v>0</v>
      </c>
      <c r="Z108">
        <f t="shared" si="48"/>
        <v>0</v>
      </c>
      <c r="AA108">
        <f t="shared" si="49"/>
        <v>0</v>
      </c>
      <c r="AB108">
        <f t="shared" si="50"/>
        <v>0</v>
      </c>
      <c r="AC108">
        <f t="shared" si="51"/>
        <v>0</v>
      </c>
      <c r="AD108">
        <f t="shared" si="52"/>
        <v>0</v>
      </c>
      <c r="AE108">
        <f t="shared" si="53"/>
        <v>0</v>
      </c>
      <c r="AF108">
        <f t="shared" si="54"/>
        <v>0</v>
      </c>
      <c r="AG108">
        <f t="shared" si="55"/>
        <v>0</v>
      </c>
      <c r="AH108">
        <f t="shared" si="56"/>
        <v>0</v>
      </c>
      <c r="AI108">
        <f t="shared" si="57"/>
        <v>0</v>
      </c>
      <c r="AJ108">
        <f t="shared" si="58"/>
        <v>0</v>
      </c>
      <c r="AK108">
        <f t="shared" si="59"/>
        <v>0</v>
      </c>
      <c r="AL108">
        <f t="shared" si="70"/>
        <v>0</v>
      </c>
      <c r="AM108">
        <f t="shared" si="71"/>
        <v>0</v>
      </c>
      <c r="AN108">
        <f t="shared" si="60"/>
        <v>0</v>
      </c>
      <c r="AO108">
        <f t="shared" si="61"/>
        <v>0</v>
      </c>
      <c r="AP108">
        <f t="shared" si="62"/>
        <v>0</v>
      </c>
      <c r="AQ108">
        <f t="shared" si="72"/>
        <v>0</v>
      </c>
      <c r="AR108">
        <f t="shared" si="73"/>
        <v>0</v>
      </c>
      <c r="AS108">
        <f t="shared" si="63"/>
        <v>0</v>
      </c>
      <c r="AT108">
        <f t="shared" si="64"/>
        <v>0</v>
      </c>
      <c r="AU108">
        <f t="shared" si="65"/>
        <v>0</v>
      </c>
      <c r="AV108">
        <f t="shared" si="66"/>
        <v>0</v>
      </c>
      <c r="AW108">
        <f t="shared" si="67"/>
        <v>0</v>
      </c>
      <c r="AX108">
        <f t="shared" si="68"/>
        <v>0</v>
      </c>
      <c r="AY108">
        <f t="shared" si="69"/>
        <v>0</v>
      </c>
      <c r="AZ108" t="s">
        <v>246</v>
      </c>
    </row>
    <row r="109" spans="1:52">
      <c r="A109">
        <v>108</v>
      </c>
      <c r="B109" s="14">
        <v>46179</v>
      </c>
      <c r="C109" t="s">
        <v>18</v>
      </c>
      <c r="D109" t="s">
        <v>2</v>
      </c>
      <c r="E109" t="s">
        <v>462</v>
      </c>
      <c r="F109" t="s">
        <v>6</v>
      </c>
      <c r="G109">
        <v>0</v>
      </c>
      <c r="H109">
        <v>2</v>
      </c>
      <c r="I109" t="s">
        <v>248</v>
      </c>
      <c r="J109" t="s">
        <v>248</v>
      </c>
      <c r="K109" t="s">
        <v>461</v>
      </c>
      <c r="L109" t="s">
        <v>191</v>
      </c>
      <c r="M109" t="s">
        <v>11</v>
      </c>
      <c r="N109" t="s">
        <v>198</v>
      </c>
      <c r="O109">
        <f t="shared" si="37"/>
        <v>0</v>
      </c>
      <c r="P109">
        <f t="shared" si="38"/>
        <v>0</v>
      </c>
      <c r="Q109">
        <f t="shared" si="39"/>
        <v>0</v>
      </c>
      <c r="R109">
        <f t="shared" si="40"/>
        <v>0</v>
      </c>
      <c r="S109">
        <f t="shared" si="41"/>
        <v>1</v>
      </c>
      <c r="T109">
        <f t="shared" si="42"/>
        <v>1</v>
      </c>
      <c r="U109">
        <f t="shared" si="43"/>
        <v>0</v>
      </c>
      <c r="V109">
        <f t="shared" si="44"/>
        <v>0</v>
      </c>
      <c r="W109">
        <f t="shared" si="45"/>
        <v>0</v>
      </c>
      <c r="X109">
        <f t="shared" si="46"/>
        <v>0</v>
      </c>
      <c r="Y109">
        <f t="shared" si="47"/>
        <v>0</v>
      </c>
      <c r="Z109">
        <f t="shared" si="48"/>
        <v>0</v>
      </c>
      <c r="AA109">
        <f t="shared" si="49"/>
        <v>0</v>
      </c>
      <c r="AB109">
        <f t="shared" si="50"/>
        <v>0</v>
      </c>
      <c r="AC109">
        <f t="shared" si="51"/>
        <v>0</v>
      </c>
      <c r="AD109">
        <f t="shared" si="52"/>
        <v>0</v>
      </c>
      <c r="AE109">
        <f t="shared" si="53"/>
        <v>0</v>
      </c>
      <c r="AF109">
        <f t="shared" si="54"/>
        <v>0</v>
      </c>
      <c r="AG109">
        <f t="shared" si="55"/>
        <v>0</v>
      </c>
      <c r="AH109">
        <f t="shared" si="56"/>
        <v>0</v>
      </c>
      <c r="AI109">
        <f t="shared" si="57"/>
        <v>0</v>
      </c>
      <c r="AJ109">
        <f t="shared" si="58"/>
        <v>0</v>
      </c>
      <c r="AK109">
        <f t="shared" si="59"/>
        <v>0</v>
      </c>
      <c r="AL109">
        <f t="shared" si="70"/>
        <v>0</v>
      </c>
      <c r="AM109">
        <f t="shared" si="71"/>
        <v>0</v>
      </c>
      <c r="AN109">
        <f t="shared" si="60"/>
        <v>0</v>
      </c>
      <c r="AO109">
        <f t="shared" si="61"/>
        <v>0</v>
      </c>
      <c r="AP109">
        <f t="shared" si="62"/>
        <v>0</v>
      </c>
      <c r="AQ109">
        <f t="shared" si="72"/>
        <v>0</v>
      </c>
      <c r="AR109">
        <f t="shared" si="73"/>
        <v>0</v>
      </c>
      <c r="AS109">
        <f t="shared" si="63"/>
        <v>0</v>
      </c>
      <c r="AT109">
        <f t="shared" si="64"/>
        <v>0</v>
      </c>
      <c r="AU109">
        <f t="shared" si="65"/>
        <v>0</v>
      </c>
      <c r="AV109">
        <f t="shared" si="66"/>
        <v>0</v>
      </c>
      <c r="AW109">
        <f t="shared" si="67"/>
        <v>0</v>
      </c>
      <c r="AX109">
        <f t="shared" si="68"/>
        <v>0</v>
      </c>
      <c r="AY109">
        <f t="shared" si="69"/>
        <v>0</v>
      </c>
      <c r="AZ109" t="s">
        <v>246</v>
      </c>
    </row>
    <row r="110" spans="1:52" ht="27.6">
      <c r="A110">
        <v>109</v>
      </c>
      <c r="B110" s="14">
        <v>46179</v>
      </c>
      <c r="C110" t="s">
        <v>18</v>
      </c>
      <c r="D110" t="s">
        <v>2</v>
      </c>
      <c r="E110" s="15" t="s">
        <v>460</v>
      </c>
      <c r="F110" t="s">
        <v>13</v>
      </c>
      <c r="G110">
        <v>0</v>
      </c>
      <c r="H110">
        <v>2</v>
      </c>
      <c r="I110" t="s">
        <v>248</v>
      </c>
      <c r="J110" t="s">
        <v>248</v>
      </c>
      <c r="K110" t="s">
        <v>459</v>
      </c>
      <c r="L110" t="s">
        <v>191</v>
      </c>
      <c r="M110" t="s">
        <v>11</v>
      </c>
      <c r="N110" t="s">
        <v>190</v>
      </c>
      <c r="O110">
        <f t="shared" si="37"/>
        <v>0</v>
      </c>
      <c r="P110">
        <f t="shared" si="38"/>
        <v>0</v>
      </c>
      <c r="Q110">
        <f t="shared" si="39"/>
        <v>0</v>
      </c>
      <c r="R110">
        <f t="shared" si="40"/>
        <v>0</v>
      </c>
      <c r="S110">
        <f t="shared" si="41"/>
        <v>1</v>
      </c>
      <c r="T110">
        <f t="shared" si="42"/>
        <v>0</v>
      </c>
      <c r="U110">
        <f t="shared" si="43"/>
        <v>0</v>
      </c>
      <c r="V110">
        <f t="shared" si="44"/>
        <v>0</v>
      </c>
      <c r="W110">
        <f t="shared" si="45"/>
        <v>0</v>
      </c>
      <c r="X110">
        <f t="shared" si="46"/>
        <v>0</v>
      </c>
      <c r="Y110">
        <f t="shared" si="47"/>
        <v>0</v>
      </c>
      <c r="Z110">
        <f t="shared" si="48"/>
        <v>0</v>
      </c>
      <c r="AA110">
        <f t="shared" si="49"/>
        <v>0</v>
      </c>
      <c r="AB110">
        <f t="shared" si="50"/>
        <v>0</v>
      </c>
      <c r="AC110">
        <f t="shared" si="51"/>
        <v>0</v>
      </c>
      <c r="AD110">
        <f t="shared" si="52"/>
        <v>0</v>
      </c>
      <c r="AE110">
        <f t="shared" si="53"/>
        <v>0</v>
      </c>
      <c r="AF110">
        <f t="shared" si="54"/>
        <v>0</v>
      </c>
      <c r="AG110">
        <f t="shared" si="55"/>
        <v>0</v>
      </c>
      <c r="AH110">
        <f t="shared" si="56"/>
        <v>0</v>
      </c>
      <c r="AI110">
        <f t="shared" si="57"/>
        <v>0</v>
      </c>
      <c r="AJ110">
        <f t="shared" si="58"/>
        <v>0</v>
      </c>
      <c r="AK110">
        <f t="shared" si="59"/>
        <v>0</v>
      </c>
      <c r="AL110">
        <f t="shared" si="70"/>
        <v>0</v>
      </c>
      <c r="AM110">
        <f t="shared" si="71"/>
        <v>0</v>
      </c>
      <c r="AN110">
        <f t="shared" si="60"/>
        <v>0</v>
      </c>
      <c r="AO110">
        <f t="shared" si="61"/>
        <v>0</v>
      </c>
      <c r="AP110">
        <f t="shared" si="62"/>
        <v>0</v>
      </c>
      <c r="AQ110">
        <f t="shared" si="72"/>
        <v>0</v>
      </c>
      <c r="AR110">
        <f t="shared" si="73"/>
        <v>0</v>
      </c>
      <c r="AS110">
        <f t="shared" si="63"/>
        <v>0</v>
      </c>
      <c r="AT110">
        <f t="shared" si="64"/>
        <v>0</v>
      </c>
      <c r="AU110">
        <f t="shared" si="65"/>
        <v>0</v>
      </c>
      <c r="AV110">
        <f t="shared" si="66"/>
        <v>0</v>
      </c>
      <c r="AW110">
        <f t="shared" si="67"/>
        <v>0</v>
      </c>
      <c r="AX110">
        <f t="shared" si="68"/>
        <v>0</v>
      </c>
      <c r="AY110">
        <f t="shared" si="69"/>
        <v>0</v>
      </c>
      <c r="AZ110" t="s">
        <v>246</v>
      </c>
    </row>
    <row r="111" spans="1:52">
      <c r="A111">
        <v>110</v>
      </c>
      <c r="B111" s="14">
        <v>46179</v>
      </c>
      <c r="C111" t="s">
        <v>18</v>
      </c>
      <c r="D111" t="s">
        <v>4</v>
      </c>
      <c r="E111" s="2" t="s">
        <v>458</v>
      </c>
      <c r="F111" t="s">
        <v>14</v>
      </c>
      <c r="G111">
        <v>0</v>
      </c>
      <c r="H111">
        <v>3</v>
      </c>
      <c r="I111" t="s">
        <v>248</v>
      </c>
      <c r="J111" t="s">
        <v>248</v>
      </c>
      <c r="K111" t="s">
        <v>457</v>
      </c>
      <c r="L111" t="s">
        <v>191</v>
      </c>
      <c r="M111" t="s">
        <v>11</v>
      </c>
      <c r="N111" t="s">
        <v>190</v>
      </c>
      <c r="O111">
        <f t="shared" si="37"/>
        <v>1</v>
      </c>
      <c r="P111">
        <f t="shared" si="38"/>
        <v>0</v>
      </c>
      <c r="Q111">
        <f t="shared" si="39"/>
        <v>0</v>
      </c>
      <c r="R111">
        <f t="shared" si="40"/>
        <v>0</v>
      </c>
      <c r="S111">
        <f t="shared" si="41"/>
        <v>1</v>
      </c>
      <c r="T111">
        <f t="shared" si="42"/>
        <v>0</v>
      </c>
      <c r="U111">
        <f t="shared" si="43"/>
        <v>0</v>
      </c>
      <c r="V111">
        <f t="shared" si="44"/>
        <v>0</v>
      </c>
      <c r="W111">
        <f t="shared" si="45"/>
        <v>0</v>
      </c>
      <c r="X111">
        <f t="shared" si="46"/>
        <v>0</v>
      </c>
      <c r="Y111">
        <f t="shared" si="47"/>
        <v>0</v>
      </c>
      <c r="Z111">
        <f t="shared" si="48"/>
        <v>0</v>
      </c>
      <c r="AA111">
        <f t="shared" si="49"/>
        <v>0</v>
      </c>
      <c r="AB111">
        <f t="shared" si="50"/>
        <v>0</v>
      </c>
      <c r="AC111">
        <f t="shared" si="51"/>
        <v>0</v>
      </c>
      <c r="AD111">
        <f t="shared" si="52"/>
        <v>0</v>
      </c>
      <c r="AE111">
        <f t="shared" si="53"/>
        <v>0</v>
      </c>
      <c r="AF111">
        <f t="shared" si="54"/>
        <v>0</v>
      </c>
      <c r="AG111">
        <f t="shared" si="55"/>
        <v>0</v>
      </c>
      <c r="AH111">
        <f t="shared" si="56"/>
        <v>0</v>
      </c>
      <c r="AI111">
        <f t="shared" si="57"/>
        <v>0</v>
      </c>
      <c r="AJ111">
        <f t="shared" si="58"/>
        <v>0</v>
      </c>
      <c r="AK111">
        <f t="shared" si="59"/>
        <v>0</v>
      </c>
      <c r="AL111">
        <f t="shared" si="70"/>
        <v>0</v>
      </c>
      <c r="AM111">
        <f t="shared" si="71"/>
        <v>0</v>
      </c>
      <c r="AN111">
        <f t="shared" si="60"/>
        <v>0</v>
      </c>
      <c r="AO111">
        <f t="shared" si="61"/>
        <v>0</v>
      </c>
      <c r="AP111">
        <f t="shared" si="62"/>
        <v>0</v>
      </c>
      <c r="AQ111">
        <f t="shared" si="72"/>
        <v>0</v>
      </c>
      <c r="AR111">
        <f t="shared" si="73"/>
        <v>0</v>
      </c>
      <c r="AS111">
        <f t="shared" si="63"/>
        <v>0</v>
      </c>
      <c r="AT111">
        <f t="shared" si="64"/>
        <v>0</v>
      </c>
      <c r="AU111">
        <f t="shared" si="65"/>
        <v>0</v>
      </c>
      <c r="AV111">
        <f t="shared" si="66"/>
        <v>0</v>
      </c>
      <c r="AW111">
        <f t="shared" si="67"/>
        <v>0</v>
      </c>
      <c r="AX111">
        <f t="shared" si="68"/>
        <v>0</v>
      </c>
      <c r="AY111">
        <f t="shared" si="69"/>
        <v>0</v>
      </c>
      <c r="AZ111" t="s">
        <v>246</v>
      </c>
    </row>
    <row r="112" spans="1:52">
      <c r="A112">
        <v>111</v>
      </c>
      <c r="B112" s="14">
        <v>46179</v>
      </c>
      <c r="C112" t="s">
        <v>18</v>
      </c>
      <c r="D112" t="s">
        <v>2</v>
      </c>
      <c r="E112" t="s">
        <v>456</v>
      </c>
      <c r="F112" t="s">
        <v>14</v>
      </c>
      <c r="G112">
        <v>0</v>
      </c>
      <c r="H112">
        <v>1</v>
      </c>
      <c r="I112">
        <v>2.25</v>
      </c>
      <c r="J112">
        <v>3.25</v>
      </c>
      <c r="K112" t="s">
        <v>455</v>
      </c>
      <c r="L112" t="s">
        <v>191</v>
      </c>
      <c r="M112" t="s">
        <v>11</v>
      </c>
      <c r="N112" t="s">
        <v>198</v>
      </c>
      <c r="O112">
        <f t="shared" si="37"/>
        <v>0</v>
      </c>
      <c r="P112">
        <f t="shared" si="38"/>
        <v>0</v>
      </c>
      <c r="Q112">
        <f t="shared" si="39"/>
        <v>0</v>
      </c>
      <c r="R112">
        <f t="shared" si="40"/>
        <v>0</v>
      </c>
      <c r="S112">
        <f t="shared" si="41"/>
        <v>1</v>
      </c>
      <c r="T112">
        <f t="shared" si="42"/>
        <v>0</v>
      </c>
      <c r="U112">
        <f t="shared" si="43"/>
        <v>0</v>
      </c>
      <c r="V112">
        <f t="shared" si="44"/>
        <v>0</v>
      </c>
      <c r="W112">
        <f t="shared" si="45"/>
        <v>0</v>
      </c>
      <c r="X112">
        <f t="shared" si="46"/>
        <v>0</v>
      </c>
      <c r="Y112">
        <f t="shared" si="47"/>
        <v>0</v>
      </c>
      <c r="Z112">
        <f t="shared" si="48"/>
        <v>0</v>
      </c>
      <c r="AA112">
        <f t="shared" si="49"/>
        <v>0</v>
      </c>
      <c r="AB112">
        <f t="shared" si="50"/>
        <v>0</v>
      </c>
      <c r="AC112">
        <f t="shared" si="51"/>
        <v>0</v>
      </c>
      <c r="AD112">
        <f t="shared" si="52"/>
        <v>0</v>
      </c>
      <c r="AE112">
        <f t="shared" si="53"/>
        <v>0</v>
      </c>
      <c r="AF112">
        <f t="shared" si="54"/>
        <v>0</v>
      </c>
      <c r="AG112">
        <f t="shared" si="55"/>
        <v>0</v>
      </c>
      <c r="AH112">
        <f t="shared" si="56"/>
        <v>0</v>
      </c>
      <c r="AI112">
        <f t="shared" si="57"/>
        <v>0</v>
      </c>
      <c r="AJ112">
        <f t="shared" si="58"/>
        <v>0</v>
      </c>
      <c r="AK112">
        <f t="shared" si="59"/>
        <v>0</v>
      </c>
      <c r="AL112">
        <f t="shared" si="70"/>
        <v>0</v>
      </c>
      <c r="AM112">
        <f t="shared" si="71"/>
        <v>0</v>
      </c>
      <c r="AN112">
        <f t="shared" si="60"/>
        <v>0</v>
      </c>
      <c r="AO112">
        <f t="shared" si="61"/>
        <v>0</v>
      </c>
      <c r="AP112">
        <f t="shared" si="62"/>
        <v>0</v>
      </c>
      <c r="AQ112">
        <f t="shared" si="72"/>
        <v>0</v>
      </c>
      <c r="AR112">
        <f t="shared" si="73"/>
        <v>0</v>
      </c>
      <c r="AS112">
        <f t="shared" si="63"/>
        <v>0</v>
      </c>
      <c r="AT112">
        <f t="shared" si="64"/>
        <v>0</v>
      </c>
      <c r="AU112">
        <f t="shared" si="65"/>
        <v>0</v>
      </c>
      <c r="AV112">
        <f t="shared" si="66"/>
        <v>0</v>
      </c>
      <c r="AW112">
        <f t="shared" si="67"/>
        <v>0</v>
      </c>
      <c r="AX112">
        <f t="shared" si="68"/>
        <v>0</v>
      </c>
      <c r="AY112">
        <f t="shared" si="69"/>
        <v>0</v>
      </c>
      <c r="AZ112" t="s">
        <v>246</v>
      </c>
    </row>
    <row r="113" spans="1:52">
      <c r="A113">
        <v>112</v>
      </c>
      <c r="B113" s="14">
        <v>46179</v>
      </c>
      <c r="C113" t="s">
        <v>18</v>
      </c>
      <c r="D113" t="s">
        <v>2</v>
      </c>
      <c r="E113" t="s">
        <v>454</v>
      </c>
      <c r="F113" t="s">
        <v>5</v>
      </c>
      <c r="G113">
        <v>0</v>
      </c>
      <c r="H113">
        <v>2</v>
      </c>
      <c r="I113" t="s">
        <v>248</v>
      </c>
      <c r="J113" t="s">
        <v>248</v>
      </c>
      <c r="K113" t="s">
        <v>453</v>
      </c>
      <c r="L113" t="s">
        <v>191</v>
      </c>
      <c r="M113" t="s">
        <v>11</v>
      </c>
      <c r="N113" t="s">
        <v>198</v>
      </c>
      <c r="O113">
        <f t="shared" si="37"/>
        <v>1</v>
      </c>
      <c r="P113">
        <f t="shared" si="38"/>
        <v>0</v>
      </c>
      <c r="Q113">
        <f t="shared" si="39"/>
        <v>0</v>
      </c>
      <c r="R113">
        <f t="shared" si="40"/>
        <v>0</v>
      </c>
      <c r="S113">
        <f t="shared" si="41"/>
        <v>0</v>
      </c>
      <c r="T113">
        <f t="shared" si="42"/>
        <v>0</v>
      </c>
      <c r="U113">
        <f t="shared" si="43"/>
        <v>0</v>
      </c>
      <c r="V113">
        <f t="shared" si="44"/>
        <v>0</v>
      </c>
      <c r="W113">
        <f t="shared" si="45"/>
        <v>0</v>
      </c>
      <c r="X113">
        <f t="shared" si="46"/>
        <v>0</v>
      </c>
      <c r="Y113">
        <f t="shared" si="47"/>
        <v>0</v>
      </c>
      <c r="Z113">
        <f t="shared" si="48"/>
        <v>0</v>
      </c>
      <c r="AA113">
        <f t="shared" si="49"/>
        <v>0</v>
      </c>
      <c r="AB113">
        <f t="shared" si="50"/>
        <v>0</v>
      </c>
      <c r="AC113">
        <f t="shared" si="51"/>
        <v>1</v>
      </c>
      <c r="AD113">
        <f t="shared" si="52"/>
        <v>0</v>
      </c>
      <c r="AE113">
        <f t="shared" si="53"/>
        <v>0</v>
      </c>
      <c r="AF113">
        <f t="shared" si="54"/>
        <v>0</v>
      </c>
      <c r="AG113">
        <f t="shared" si="55"/>
        <v>0</v>
      </c>
      <c r="AH113">
        <f t="shared" si="56"/>
        <v>0</v>
      </c>
      <c r="AI113">
        <f t="shared" si="57"/>
        <v>0</v>
      </c>
      <c r="AJ113">
        <f t="shared" si="58"/>
        <v>0</v>
      </c>
      <c r="AK113">
        <f t="shared" si="59"/>
        <v>0</v>
      </c>
      <c r="AL113">
        <f t="shared" si="70"/>
        <v>0</v>
      </c>
      <c r="AM113">
        <f t="shared" si="71"/>
        <v>0</v>
      </c>
      <c r="AN113">
        <f t="shared" si="60"/>
        <v>0</v>
      </c>
      <c r="AO113">
        <f t="shared" si="61"/>
        <v>0</v>
      </c>
      <c r="AP113">
        <f t="shared" si="62"/>
        <v>0</v>
      </c>
      <c r="AQ113">
        <f t="shared" si="72"/>
        <v>0</v>
      </c>
      <c r="AR113">
        <f t="shared" si="73"/>
        <v>0</v>
      </c>
      <c r="AS113">
        <f t="shared" si="63"/>
        <v>0</v>
      </c>
      <c r="AT113">
        <f t="shared" si="64"/>
        <v>0</v>
      </c>
      <c r="AU113">
        <f t="shared" si="65"/>
        <v>0</v>
      </c>
      <c r="AV113">
        <f t="shared" si="66"/>
        <v>0</v>
      </c>
      <c r="AW113">
        <f t="shared" si="67"/>
        <v>0</v>
      </c>
      <c r="AX113">
        <f t="shared" si="68"/>
        <v>0</v>
      </c>
      <c r="AY113">
        <f t="shared" si="69"/>
        <v>0</v>
      </c>
      <c r="AZ113" t="s">
        <v>246</v>
      </c>
    </row>
    <row r="114" spans="1:52">
      <c r="A114">
        <v>113</v>
      </c>
      <c r="B114" s="14">
        <v>46179</v>
      </c>
      <c r="C114" t="s">
        <v>18</v>
      </c>
      <c r="D114" t="s">
        <v>2</v>
      </c>
      <c r="E114" t="s">
        <v>452</v>
      </c>
      <c r="F114" t="s">
        <v>5</v>
      </c>
      <c r="G114">
        <v>0</v>
      </c>
      <c r="H114">
        <v>1</v>
      </c>
      <c r="I114">
        <v>2.75</v>
      </c>
      <c r="J114">
        <v>3</v>
      </c>
      <c r="K114" t="s">
        <v>451</v>
      </c>
      <c r="L114" t="s">
        <v>450</v>
      </c>
      <c r="M114" t="s">
        <v>11</v>
      </c>
      <c r="N114" t="s">
        <v>190</v>
      </c>
      <c r="O114">
        <f t="shared" si="37"/>
        <v>1</v>
      </c>
      <c r="P114">
        <f t="shared" si="38"/>
        <v>0</v>
      </c>
      <c r="Q114">
        <f t="shared" si="39"/>
        <v>0</v>
      </c>
      <c r="R114">
        <f t="shared" si="40"/>
        <v>0</v>
      </c>
      <c r="S114">
        <f t="shared" si="41"/>
        <v>1</v>
      </c>
      <c r="T114">
        <f t="shared" si="42"/>
        <v>0</v>
      </c>
      <c r="U114">
        <f t="shared" si="43"/>
        <v>0</v>
      </c>
      <c r="V114">
        <f t="shared" si="44"/>
        <v>0</v>
      </c>
      <c r="W114">
        <f t="shared" si="45"/>
        <v>0</v>
      </c>
      <c r="X114">
        <f t="shared" si="46"/>
        <v>0</v>
      </c>
      <c r="Y114">
        <f t="shared" si="47"/>
        <v>0</v>
      </c>
      <c r="Z114">
        <f t="shared" si="48"/>
        <v>0</v>
      </c>
      <c r="AA114">
        <f t="shared" si="49"/>
        <v>0</v>
      </c>
      <c r="AB114">
        <f t="shared" si="50"/>
        <v>0</v>
      </c>
      <c r="AC114">
        <f t="shared" si="51"/>
        <v>0</v>
      </c>
      <c r="AD114">
        <f t="shared" si="52"/>
        <v>0</v>
      </c>
      <c r="AE114">
        <f t="shared" si="53"/>
        <v>0</v>
      </c>
      <c r="AF114">
        <f t="shared" si="54"/>
        <v>0</v>
      </c>
      <c r="AG114">
        <f t="shared" si="55"/>
        <v>0</v>
      </c>
      <c r="AH114">
        <f t="shared" si="56"/>
        <v>0</v>
      </c>
      <c r="AI114">
        <f t="shared" si="57"/>
        <v>0</v>
      </c>
      <c r="AJ114">
        <f t="shared" si="58"/>
        <v>0</v>
      </c>
      <c r="AK114">
        <f t="shared" si="59"/>
        <v>0</v>
      </c>
      <c r="AL114">
        <f t="shared" si="70"/>
        <v>0</v>
      </c>
      <c r="AM114">
        <f t="shared" si="71"/>
        <v>0</v>
      </c>
      <c r="AN114">
        <f t="shared" si="60"/>
        <v>0</v>
      </c>
      <c r="AO114">
        <f t="shared" si="61"/>
        <v>0</v>
      </c>
      <c r="AP114">
        <f t="shared" si="62"/>
        <v>0</v>
      </c>
      <c r="AQ114">
        <f t="shared" si="72"/>
        <v>0</v>
      </c>
      <c r="AR114">
        <f t="shared" si="73"/>
        <v>0</v>
      </c>
      <c r="AS114">
        <f t="shared" si="63"/>
        <v>0</v>
      </c>
      <c r="AT114">
        <f t="shared" si="64"/>
        <v>0</v>
      </c>
      <c r="AU114">
        <f t="shared" si="65"/>
        <v>0</v>
      </c>
      <c r="AV114">
        <f t="shared" si="66"/>
        <v>0</v>
      </c>
      <c r="AW114">
        <f t="shared" si="67"/>
        <v>0</v>
      </c>
      <c r="AX114">
        <f t="shared" si="68"/>
        <v>0</v>
      </c>
      <c r="AY114">
        <f t="shared" si="69"/>
        <v>0</v>
      </c>
      <c r="AZ114" t="s">
        <v>246</v>
      </c>
    </row>
    <row r="115" spans="1:52">
      <c r="A115">
        <v>114</v>
      </c>
      <c r="B115" s="14">
        <v>46179</v>
      </c>
      <c r="C115" t="s">
        <v>18</v>
      </c>
      <c r="D115" t="s">
        <v>2</v>
      </c>
      <c r="E115" t="s">
        <v>449</v>
      </c>
      <c r="F115" t="s">
        <v>6</v>
      </c>
      <c r="G115">
        <v>0</v>
      </c>
      <c r="H115">
        <v>3</v>
      </c>
      <c r="I115" t="s">
        <v>248</v>
      </c>
      <c r="J115" t="s">
        <v>248</v>
      </c>
      <c r="K115" t="s">
        <v>448</v>
      </c>
      <c r="L115" t="s">
        <v>191</v>
      </c>
      <c r="M115" t="s">
        <v>11</v>
      </c>
      <c r="N115" t="s">
        <v>190</v>
      </c>
      <c r="O115">
        <f t="shared" si="37"/>
        <v>1</v>
      </c>
      <c r="P115">
        <f t="shared" si="38"/>
        <v>1</v>
      </c>
      <c r="Q115">
        <f t="shared" si="39"/>
        <v>1</v>
      </c>
      <c r="R115">
        <f t="shared" si="40"/>
        <v>1</v>
      </c>
      <c r="S115">
        <f t="shared" si="41"/>
        <v>0</v>
      </c>
      <c r="T115">
        <f t="shared" si="42"/>
        <v>0</v>
      </c>
      <c r="U115">
        <f t="shared" si="43"/>
        <v>0</v>
      </c>
      <c r="V115">
        <f t="shared" si="44"/>
        <v>0</v>
      </c>
      <c r="W115">
        <f t="shared" si="45"/>
        <v>0</v>
      </c>
      <c r="X115">
        <f t="shared" si="46"/>
        <v>0</v>
      </c>
      <c r="Y115">
        <f t="shared" si="47"/>
        <v>0</v>
      </c>
      <c r="Z115">
        <f t="shared" si="48"/>
        <v>0</v>
      </c>
      <c r="AA115">
        <f t="shared" si="49"/>
        <v>0</v>
      </c>
      <c r="AB115">
        <f t="shared" si="50"/>
        <v>0</v>
      </c>
      <c r="AC115">
        <f t="shared" si="51"/>
        <v>0</v>
      </c>
      <c r="AD115">
        <f t="shared" si="52"/>
        <v>0</v>
      </c>
      <c r="AE115">
        <f t="shared" si="53"/>
        <v>0</v>
      </c>
      <c r="AF115">
        <f t="shared" si="54"/>
        <v>0</v>
      </c>
      <c r="AG115">
        <f t="shared" si="55"/>
        <v>0</v>
      </c>
      <c r="AH115">
        <f t="shared" si="56"/>
        <v>0</v>
      </c>
      <c r="AI115">
        <f t="shared" si="57"/>
        <v>0</v>
      </c>
      <c r="AJ115">
        <f t="shared" si="58"/>
        <v>0</v>
      </c>
      <c r="AK115">
        <f t="shared" si="59"/>
        <v>0</v>
      </c>
      <c r="AL115">
        <f t="shared" si="70"/>
        <v>0</v>
      </c>
      <c r="AM115">
        <f t="shared" si="71"/>
        <v>0</v>
      </c>
      <c r="AN115">
        <f t="shared" si="60"/>
        <v>0</v>
      </c>
      <c r="AO115">
        <f t="shared" si="61"/>
        <v>0</v>
      </c>
      <c r="AP115">
        <f t="shared" si="62"/>
        <v>0</v>
      </c>
      <c r="AQ115">
        <f t="shared" si="72"/>
        <v>0</v>
      </c>
      <c r="AR115">
        <f t="shared" si="73"/>
        <v>0</v>
      </c>
      <c r="AS115">
        <f t="shared" si="63"/>
        <v>0</v>
      </c>
      <c r="AT115">
        <f t="shared" si="64"/>
        <v>0</v>
      </c>
      <c r="AU115">
        <f t="shared" si="65"/>
        <v>0</v>
      </c>
      <c r="AV115">
        <f t="shared" si="66"/>
        <v>0</v>
      </c>
      <c r="AW115">
        <f t="shared" si="67"/>
        <v>0</v>
      </c>
      <c r="AX115">
        <f t="shared" si="68"/>
        <v>0</v>
      </c>
      <c r="AY115">
        <f t="shared" si="69"/>
        <v>0</v>
      </c>
      <c r="AZ115" t="s">
        <v>246</v>
      </c>
    </row>
    <row r="116" spans="1:52">
      <c r="A116">
        <v>115</v>
      </c>
      <c r="B116" s="14">
        <v>46179</v>
      </c>
      <c r="C116" t="s">
        <v>18</v>
      </c>
      <c r="D116" t="s">
        <v>2</v>
      </c>
      <c r="E116" t="s">
        <v>447</v>
      </c>
      <c r="F116" t="s">
        <v>14</v>
      </c>
      <c r="G116">
        <v>0</v>
      </c>
      <c r="H116">
        <v>2</v>
      </c>
      <c r="I116" t="s">
        <v>248</v>
      </c>
      <c r="J116" t="s">
        <v>248</v>
      </c>
      <c r="K116" t="s">
        <v>446</v>
      </c>
      <c r="L116" t="s">
        <v>191</v>
      </c>
      <c r="M116" t="s">
        <v>11</v>
      </c>
      <c r="N116" t="s">
        <v>190</v>
      </c>
      <c r="O116">
        <f t="shared" si="37"/>
        <v>0</v>
      </c>
      <c r="P116">
        <f t="shared" si="38"/>
        <v>1</v>
      </c>
      <c r="Q116">
        <f t="shared" si="39"/>
        <v>0</v>
      </c>
      <c r="R116">
        <f t="shared" si="40"/>
        <v>0</v>
      </c>
      <c r="S116">
        <f t="shared" si="41"/>
        <v>0</v>
      </c>
      <c r="T116">
        <f t="shared" si="42"/>
        <v>0</v>
      </c>
      <c r="U116">
        <f t="shared" si="43"/>
        <v>0</v>
      </c>
      <c r="V116">
        <f t="shared" si="44"/>
        <v>0</v>
      </c>
      <c r="W116">
        <f t="shared" si="45"/>
        <v>0</v>
      </c>
      <c r="X116">
        <f t="shared" si="46"/>
        <v>0</v>
      </c>
      <c r="Y116">
        <f t="shared" si="47"/>
        <v>0</v>
      </c>
      <c r="Z116">
        <f t="shared" si="48"/>
        <v>0</v>
      </c>
      <c r="AA116">
        <f t="shared" si="49"/>
        <v>0</v>
      </c>
      <c r="AB116">
        <f t="shared" si="50"/>
        <v>0</v>
      </c>
      <c r="AC116">
        <f t="shared" si="51"/>
        <v>0</v>
      </c>
      <c r="AD116">
        <f t="shared" si="52"/>
        <v>0</v>
      </c>
      <c r="AE116">
        <f t="shared" si="53"/>
        <v>0</v>
      </c>
      <c r="AF116">
        <f t="shared" si="54"/>
        <v>0</v>
      </c>
      <c r="AG116">
        <f t="shared" si="55"/>
        <v>0</v>
      </c>
      <c r="AH116">
        <f t="shared" si="56"/>
        <v>0</v>
      </c>
      <c r="AI116">
        <f t="shared" si="57"/>
        <v>0</v>
      </c>
      <c r="AJ116">
        <f t="shared" si="58"/>
        <v>0</v>
      </c>
      <c r="AK116">
        <f t="shared" si="59"/>
        <v>1</v>
      </c>
      <c r="AL116">
        <f t="shared" si="70"/>
        <v>0</v>
      </c>
      <c r="AM116">
        <f t="shared" si="71"/>
        <v>0</v>
      </c>
      <c r="AN116">
        <f t="shared" si="60"/>
        <v>0</v>
      </c>
      <c r="AO116">
        <f t="shared" si="61"/>
        <v>0</v>
      </c>
      <c r="AP116">
        <f t="shared" si="62"/>
        <v>0</v>
      </c>
      <c r="AQ116">
        <f t="shared" si="72"/>
        <v>0</v>
      </c>
      <c r="AR116">
        <f t="shared" si="73"/>
        <v>0</v>
      </c>
      <c r="AS116">
        <f t="shared" si="63"/>
        <v>0</v>
      </c>
      <c r="AT116">
        <f t="shared" si="64"/>
        <v>0</v>
      </c>
      <c r="AU116">
        <f t="shared" si="65"/>
        <v>0</v>
      </c>
      <c r="AV116">
        <f t="shared" si="66"/>
        <v>0</v>
      </c>
      <c r="AW116">
        <f t="shared" si="67"/>
        <v>0</v>
      </c>
      <c r="AX116">
        <f t="shared" si="68"/>
        <v>0</v>
      </c>
      <c r="AY116">
        <f t="shared" si="69"/>
        <v>0</v>
      </c>
      <c r="AZ116" t="s">
        <v>246</v>
      </c>
    </row>
    <row r="117" spans="1:52">
      <c r="A117">
        <v>116</v>
      </c>
      <c r="B117" s="14">
        <v>46179</v>
      </c>
      <c r="C117" t="s">
        <v>18</v>
      </c>
      <c r="D117" t="s">
        <v>2</v>
      </c>
      <c r="E117" t="s">
        <v>445</v>
      </c>
      <c r="F117" t="s">
        <v>14</v>
      </c>
      <c r="G117">
        <v>0</v>
      </c>
      <c r="H117">
        <v>1</v>
      </c>
      <c r="I117" t="s">
        <v>248</v>
      </c>
      <c r="J117" t="s">
        <v>248</v>
      </c>
      <c r="K117" t="s">
        <v>444</v>
      </c>
      <c r="L117" t="s">
        <v>191</v>
      </c>
      <c r="M117" t="s">
        <v>11</v>
      </c>
      <c r="N117" t="s">
        <v>190</v>
      </c>
      <c r="O117">
        <f t="shared" si="37"/>
        <v>0</v>
      </c>
      <c r="P117">
        <f t="shared" si="38"/>
        <v>0</v>
      </c>
      <c r="Q117">
        <f t="shared" si="39"/>
        <v>1</v>
      </c>
      <c r="R117">
        <f t="shared" si="40"/>
        <v>1</v>
      </c>
      <c r="S117">
        <f t="shared" si="41"/>
        <v>1</v>
      </c>
      <c r="T117">
        <f t="shared" si="42"/>
        <v>0</v>
      </c>
      <c r="U117">
        <f t="shared" si="43"/>
        <v>0</v>
      </c>
      <c r="V117">
        <f t="shared" si="44"/>
        <v>0</v>
      </c>
      <c r="W117">
        <f t="shared" si="45"/>
        <v>0</v>
      </c>
      <c r="X117">
        <f t="shared" si="46"/>
        <v>0</v>
      </c>
      <c r="Y117">
        <f t="shared" si="47"/>
        <v>0</v>
      </c>
      <c r="Z117">
        <f t="shared" si="48"/>
        <v>0</v>
      </c>
      <c r="AA117">
        <f t="shared" si="49"/>
        <v>0</v>
      </c>
      <c r="AB117">
        <f t="shared" si="50"/>
        <v>0</v>
      </c>
      <c r="AC117">
        <f t="shared" si="51"/>
        <v>1</v>
      </c>
      <c r="AD117">
        <f t="shared" si="52"/>
        <v>0</v>
      </c>
      <c r="AE117">
        <f t="shared" si="53"/>
        <v>0</v>
      </c>
      <c r="AF117">
        <f t="shared" si="54"/>
        <v>0</v>
      </c>
      <c r="AG117">
        <f t="shared" si="55"/>
        <v>0</v>
      </c>
      <c r="AH117">
        <f t="shared" si="56"/>
        <v>1</v>
      </c>
      <c r="AI117">
        <f t="shared" si="57"/>
        <v>0</v>
      </c>
      <c r="AJ117">
        <f t="shared" si="58"/>
        <v>0</v>
      </c>
      <c r="AK117">
        <f t="shared" si="59"/>
        <v>0</v>
      </c>
      <c r="AL117">
        <f t="shared" si="70"/>
        <v>0</v>
      </c>
      <c r="AM117">
        <f t="shared" si="71"/>
        <v>0</v>
      </c>
      <c r="AN117">
        <f t="shared" si="60"/>
        <v>0</v>
      </c>
      <c r="AO117">
        <f t="shared" si="61"/>
        <v>0</v>
      </c>
      <c r="AP117">
        <f t="shared" si="62"/>
        <v>0</v>
      </c>
      <c r="AQ117">
        <f t="shared" si="72"/>
        <v>0</v>
      </c>
      <c r="AR117">
        <f t="shared" si="73"/>
        <v>0</v>
      </c>
      <c r="AS117">
        <f t="shared" si="63"/>
        <v>0</v>
      </c>
      <c r="AT117">
        <f t="shared" si="64"/>
        <v>0</v>
      </c>
      <c r="AU117">
        <f t="shared" si="65"/>
        <v>0</v>
      </c>
      <c r="AV117">
        <f t="shared" si="66"/>
        <v>0</v>
      </c>
      <c r="AW117">
        <f t="shared" si="67"/>
        <v>0</v>
      </c>
      <c r="AX117">
        <f t="shared" si="68"/>
        <v>0</v>
      </c>
      <c r="AY117">
        <f t="shared" si="69"/>
        <v>0</v>
      </c>
      <c r="AZ117" t="s">
        <v>246</v>
      </c>
    </row>
    <row r="118" spans="1:52">
      <c r="A118">
        <v>117</v>
      </c>
      <c r="B118" s="14">
        <v>46179</v>
      </c>
      <c r="C118" t="s">
        <v>18</v>
      </c>
      <c r="D118" t="s">
        <v>2</v>
      </c>
      <c r="E118" t="s">
        <v>443</v>
      </c>
      <c r="F118" t="s">
        <v>14</v>
      </c>
      <c r="G118">
        <v>0</v>
      </c>
      <c r="H118">
        <v>3</v>
      </c>
      <c r="I118" t="s">
        <v>248</v>
      </c>
      <c r="J118" t="s">
        <v>248</v>
      </c>
      <c r="K118" t="s">
        <v>442</v>
      </c>
      <c r="L118" t="s">
        <v>441</v>
      </c>
      <c r="M118" t="s">
        <v>11</v>
      </c>
      <c r="N118" t="s">
        <v>190</v>
      </c>
      <c r="O118">
        <f t="shared" si="37"/>
        <v>1</v>
      </c>
      <c r="P118">
        <f t="shared" si="38"/>
        <v>0</v>
      </c>
      <c r="Q118">
        <f t="shared" si="39"/>
        <v>1</v>
      </c>
      <c r="R118">
        <f t="shared" si="40"/>
        <v>0</v>
      </c>
      <c r="S118">
        <f t="shared" si="41"/>
        <v>1</v>
      </c>
      <c r="T118">
        <f t="shared" si="42"/>
        <v>0</v>
      </c>
      <c r="U118">
        <f t="shared" si="43"/>
        <v>0</v>
      </c>
      <c r="V118">
        <f t="shared" si="44"/>
        <v>0</v>
      </c>
      <c r="W118">
        <f t="shared" si="45"/>
        <v>0</v>
      </c>
      <c r="X118">
        <f t="shared" si="46"/>
        <v>0</v>
      </c>
      <c r="Y118">
        <f t="shared" si="47"/>
        <v>0</v>
      </c>
      <c r="Z118">
        <f t="shared" si="48"/>
        <v>0</v>
      </c>
      <c r="AA118">
        <f t="shared" si="49"/>
        <v>0</v>
      </c>
      <c r="AB118">
        <f t="shared" si="50"/>
        <v>0</v>
      </c>
      <c r="AC118">
        <f t="shared" si="51"/>
        <v>0</v>
      </c>
      <c r="AD118">
        <f t="shared" si="52"/>
        <v>0</v>
      </c>
      <c r="AE118">
        <f t="shared" si="53"/>
        <v>0</v>
      </c>
      <c r="AF118">
        <f t="shared" si="54"/>
        <v>0</v>
      </c>
      <c r="AG118">
        <f t="shared" si="55"/>
        <v>0</v>
      </c>
      <c r="AH118">
        <f t="shared" si="56"/>
        <v>0</v>
      </c>
      <c r="AI118">
        <f t="shared" si="57"/>
        <v>0</v>
      </c>
      <c r="AJ118">
        <f t="shared" si="58"/>
        <v>0</v>
      </c>
      <c r="AK118">
        <f t="shared" si="59"/>
        <v>0</v>
      </c>
      <c r="AL118">
        <f t="shared" si="70"/>
        <v>0</v>
      </c>
      <c r="AM118">
        <f t="shared" si="71"/>
        <v>1</v>
      </c>
      <c r="AN118">
        <f t="shared" si="60"/>
        <v>0</v>
      </c>
      <c r="AO118">
        <f t="shared" si="61"/>
        <v>0</v>
      </c>
      <c r="AP118">
        <f t="shared" si="62"/>
        <v>0</v>
      </c>
      <c r="AQ118">
        <f t="shared" si="72"/>
        <v>0</v>
      </c>
      <c r="AR118">
        <f t="shared" si="73"/>
        <v>0</v>
      </c>
      <c r="AS118">
        <f t="shared" si="63"/>
        <v>0</v>
      </c>
      <c r="AT118">
        <f t="shared" si="64"/>
        <v>0</v>
      </c>
      <c r="AU118">
        <f t="shared" si="65"/>
        <v>0</v>
      </c>
      <c r="AV118">
        <f t="shared" si="66"/>
        <v>0</v>
      </c>
      <c r="AW118">
        <f t="shared" si="67"/>
        <v>0</v>
      </c>
      <c r="AX118">
        <f t="shared" si="68"/>
        <v>0</v>
      </c>
      <c r="AY118">
        <f t="shared" si="69"/>
        <v>0</v>
      </c>
      <c r="AZ118" t="s">
        <v>246</v>
      </c>
    </row>
    <row r="119" spans="1:52">
      <c r="A119">
        <v>118</v>
      </c>
      <c r="B119" s="14">
        <v>46179</v>
      </c>
      <c r="C119" t="s">
        <v>18</v>
      </c>
      <c r="D119" t="s">
        <v>2</v>
      </c>
      <c r="E119" t="s">
        <v>440</v>
      </c>
      <c r="F119" t="s">
        <v>5</v>
      </c>
      <c r="G119">
        <v>0</v>
      </c>
      <c r="H119">
        <v>2</v>
      </c>
      <c r="I119">
        <v>3.75</v>
      </c>
      <c r="J119">
        <v>6.5</v>
      </c>
      <c r="K119" t="s">
        <v>439</v>
      </c>
      <c r="L119" t="s">
        <v>191</v>
      </c>
      <c r="M119" t="s">
        <v>11</v>
      </c>
      <c r="N119" t="s">
        <v>190</v>
      </c>
      <c r="O119">
        <f t="shared" si="37"/>
        <v>1</v>
      </c>
      <c r="P119">
        <f t="shared" si="38"/>
        <v>1</v>
      </c>
      <c r="Q119">
        <f t="shared" si="39"/>
        <v>1</v>
      </c>
      <c r="R119">
        <f t="shared" si="40"/>
        <v>1</v>
      </c>
      <c r="S119">
        <f t="shared" si="41"/>
        <v>1</v>
      </c>
      <c r="T119">
        <f t="shared" si="42"/>
        <v>0</v>
      </c>
      <c r="U119">
        <f t="shared" si="43"/>
        <v>0</v>
      </c>
      <c r="V119">
        <f t="shared" si="44"/>
        <v>0</v>
      </c>
      <c r="W119">
        <f t="shared" si="45"/>
        <v>0</v>
      </c>
      <c r="X119">
        <f t="shared" si="46"/>
        <v>0</v>
      </c>
      <c r="Y119">
        <f t="shared" si="47"/>
        <v>0</v>
      </c>
      <c r="Z119">
        <f t="shared" si="48"/>
        <v>0</v>
      </c>
      <c r="AA119">
        <f t="shared" si="49"/>
        <v>0</v>
      </c>
      <c r="AB119">
        <f t="shared" si="50"/>
        <v>0</v>
      </c>
      <c r="AC119">
        <f t="shared" si="51"/>
        <v>0</v>
      </c>
      <c r="AD119">
        <f t="shared" si="52"/>
        <v>0</v>
      </c>
      <c r="AE119">
        <f t="shared" si="53"/>
        <v>0</v>
      </c>
      <c r="AF119">
        <f t="shared" si="54"/>
        <v>0</v>
      </c>
      <c r="AG119">
        <f t="shared" si="55"/>
        <v>0</v>
      </c>
      <c r="AH119">
        <f t="shared" si="56"/>
        <v>0</v>
      </c>
      <c r="AI119">
        <f t="shared" si="57"/>
        <v>0</v>
      </c>
      <c r="AJ119">
        <f t="shared" si="58"/>
        <v>0</v>
      </c>
      <c r="AK119">
        <f t="shared" si="59"/>
        <v>0</v>
      </c>
      <c r="AL119">
        <f t="shared" si="70"/>
        <v>0</v>
      </c>
      <c r="AM119">
        <f t="shared" si="71"/>
        <v>0</v>
      </c>
      <c r="AN119">
        <f t="shared" si="60"/>
        <v>0</v>
      </c>
      <c r="AO119">
        <f t="shared" si="61"/>
        <v>0</v>
      </c>
      <c r="AP119">
        <f t="shared" si="62"/>
        <v>0</v>
      </c>
      <c r="AQ119">
        <f t="shared" si="72"/>
        <v>0</v>
      </c>
      <c r="AR119">
        <f t="shared" si="73"/>
        <v>0</v>
      </c>
      <c r="AS119">
        <f t="shared" si="63"/>
        <v>0</v>
      </c>
      <c r="AT119">
        <f t="shared" si="64"/>
        <v>0</v>
      </c>
      <c r="AU119">
        <f t="shared" si="65"/>
        <v>0</v>
      </c>
      <c r="AV119">
        <f t="shared" si="66"/>
        <v>0</v>
      </c>
      <c r="AW119">
        <f t="shared" si="67"/>
        <v>0</v>
      </c>
      <c r="AX119">
        <f t="shared" si="68"/>
        <v>0</v>
      </c>
      <c r="AY119">
        <f t="shared" si="69"/>
        <v>0</v>
      </c>
      <c r="AZ119" t="s">
        <v>246</v>
      </c>
    </row>
    <row r="120" spans="1:52">
      <c r="A120">
        <v>119</v>
      </c>
      <c r="B120" s="14">
        <v>46179</v>
      </c>
      <c r="C120" t="s">
        <v>18</v>
      </c>
      <c r="D120" t="s">
        <v>2</v>
      </c>
      <c r="E120" t="s">
        <v>438</v>
      </c>
      <c r="F120" t="s">
        <v>14</v>
      </c>
      <c r="G120">
        <v>1</v>
      </c>
      <c r="H120">
        <v>5</v>
      </c>
      <c r="I120" t="s">
        <v>248</v>
      </c>
      <c r="J120" t="s">
        <v>248</v>
      </c>
      <c r="K120" t="s">
        <v>437</v>
      </c>
      <c r="L120" t="s">
        <v>436</v>
      </c>
      <c r="M120" t="s">
        <v>11</v>
      </c>
      <c r="N120" t="s">
        <v>190</v>
      </c>
      <c r="O120">
        <f t="shared" si="37"/>
        <v>1</v>
      </c>
      <c r="P120">
        <f t="shared" si="38"/>
        <v>1</v>
      </c>
      <c r="Q120">
        <f t="shared" si="39"/>
        <v>0</v>
      </c>
      <c r="R120">
        <f t="shared" si="40"/>
        <v>0</v>
      </c>
      <c r="S120">
        <f t="shared" si="41"/>
        <v>1</v>
      </c>
      <c r="T120">
        <f t="shared" si="42"/>
        <v>0</v>
      </c>
      <c r="U120">
        <f t="shared" si="43"/>
        <v>0</v>
      </c>
      <c r="V120">
        <f t="shared" si="44"/>
        <v>0</v>
      </c>
      <c r="W120">
        <f t="shared" si="45"/>
        <v>0</v>
      </c>
      <c r="X120">
        <f t="shared" si="46"/>
        <v>0</v>
      </c>
      <c r="Y120">
        <f t="shared" si="47"/>
        <v>0</v>
      </c>
      <c r="Z120">
        <f t="shared" si="48"/>
        <v>0</v>
      </c>
      <c r="AA120">
        <f t="shared" si="49"/>
        <v>0</v>
      </c>
      <c r="AB120">
        <f t="shared" si="50"/>
        <v>0</v>
      </c>
      <c r="AC120">
        <f t="shared" si="51"/>
        <v>0</v>
      </c>
      <c r="AD120">
        <f t="shared" si="52"/>
        <v>0</v>
      </c>
      <c r="AE120">
        <f t="shared" si="53"/>
        <v>0</v>
      </c>
      <c r="AF120">
        <f t="shared" si="54"/>
        <v>0</v>
      </c>
      <c r="AG120">
        <f t="shared" si="55"/>
        <v>0</v>
      </c>
      <c r="AH120">
        <f t="shared" si="56"/>
        <v>0</v>
      </c>
      <c r="AI120">
        <f t="shared" si="57"/>
        <v>0</v>
      </c>
      <c r="AJ120">
        <f t="shared" si="58"/>
        <v>0</v>
      </c>
      <c r="AK120">
        <f t="shared" si="59"/>
        <v>0</v>
      </c>
      <c r="AL120">
        <f t="shared" si="70"/>
        <v>0</v>
      </c>
      <c r="AM120">
        <f t="shared" si="71"/>
        <v>0</v>
      </c>
      <c r="AN120">
        <f t="shared" si="60"/>
        <v>0</v>
      </c>
      <c r="AO120">
        <f t="shared" si="61"/>
        <v>0</v>
      </c>
      <c r="AP120">
        <f t="shared" si="62"/>
        <v>0</v>
      </c>
      <c r="AQ120">
        <f t="shared" si="72"/>
        <v>0</v>
      </c>
      <c r="AR120">
        <f t="shared" si="73"/>
        <v>0</v>
      </c>
      <c r="AS120">
        <f t="shared" si="63"/>
        <v>0</v>
      </c>
      <c r="AT120">
        <f t="shared" si="64"/>
        <v>0</v>
      </c>
      <c r="AU120">
        <f t="shared" si="65"/>
        <v>0</v>
      </c>
      <c r="AV120">
        <f t="shared" si="66"/>
        <v>0</v>
      </c>
      <c r="AW120">
        <f t="shared" si="67"/>
        <v>0</v>
      </c>
      <c r="AX120">
        <f t="shared" si="68"/>
        <v>1</v>
      </c>
      <c r="AY120">
        <f t="shared" si="69"/>
        <v>0</v>
      </c>
      <c r="AZ120" t="s">
        <v>246</v>
      </c>
    </row>
    <row r="121" spans="1:52">
      <c r="A121">
        <v>120</v>
      </c>
      <c r="B121" s="14">
        <v>46179</v>
      </c>
      <c r="C121" t="s">
        <v>18</v>
      </c>
      <c r="D121" t="s">
        <v>2</v>
      </c>
      <c r="E121" t="s">
        <v>435</v>
      </c>
      <c r="F121" t="s">
        <v>17</v>
      </c>
      <c r="G121">
        <v>0</v>
      </c>
      <c r="H121">
        <v>5</v>
      </c>
      <c r="I121" t="s">
        <v>248</v>
      </c>
      <c r="J121" t="s">
        <v>248</v>
      </c>
      <c r="K121" t="s">
        <v>434</v>
      </c>
      <c r="L121" t="s">
        <v>191</v>
      </c>
      <c r="M121" t="s">
        <v>11</v>
      </c>
      <c r="N121" t="s">
        <v>190</v>
      </c>
      <c r="O121">
        <f t="shared" si="37"/>
        <v>1</v>
      </c>
      <c r="P121">
        <f t="shared" si="38"/>
        <v>0</v>
      </c>
      <c r="Q121">
        <f t="shared" si="39"/>
        <v>0</v>
      </c>
      <c r="R121">
        <f t="shared" si="40"/>
        <v>0</v>
      </c>
      <c r="S121">
        <f t="shared" si="41"/>
        <v>1</v>
      </c>
      <c r="T121">
        <f t="shared" si="42"/>
        <v>0</v>
      </c>
      <c r="U121">
        <f t="shared" si="43"/>
        <v>0</v>
      </c>
      <c r="V121">
        <f t="shared" si="44"/>
        <v>0</v>
      </c>
      <c r="W121">
        <f t="shared" si="45"/>
        <v>0</v>
      </c>
      <c r="X121">
        <f t="shared" si="46"/>
        <v>0</v>
      </c>
      <c r="Y121">
        <f t="shared" si="47"/>
        <v>0</v>
      </c>
      <c r="Z121">
        <f t="shared" si="48"/>
        <v>0</v>
      </c>
      <c r="AA121">
        <f t="shared" si="49"/>
        <v>0</v>
      </c>
      <c r="AB121">
        <f t="shared" si="50"/>
        <v>0</v>
      </c>
      <c r="AC121">
        <f t="shared" si="51"/>
        <v>0</v>
      </c>
      <c r="AD121">
        <f t="shared" si="52"/>
        <v>0</v>
      </c>
      <c r="AE121">
        <f t="shared" si="53"/>
        <v>0</v>
      </c>
      <c r="AF121">
        <f t="shared" si="54"/>
        <v>0</v>
      </c>
      <c r="AG121">
        <f t="shared" si="55"/>
        <v>0</v>
      </c>
      <c r="AH121">
        <f t="shared" si="56"/>
        <v>0</v>
      </c>
      <c r="AI121">
        <f t="shared" si="57"/>
        <v>0</v>
      </c>
      <c r="AJ121">
        <f t="shared" si="58"/>
        <v>0</v>
      </c>
      <c r="AK121">
        <f t="shared" si="59"/>
        <v>0</v>
      </c>
      <c r="AL121">
        <f t="shared" si="70"/>
        <v>0</v>
      </c>
      <c r="AM121">
        <f t="shared" si="71"/>
        <v>0</v>
      </c>
      <c r="AN121">
        <f t="shared" si="60"/>
        <v>0</v>
      </c>
      <c r="AO121">
        <f t="shared" si="61"/>
        <v>0</v>
      </c>
      <c r="AP121">
        <f t="shared" si="62"/>
        <v>0</v>
      </c>
      <c r="AQ121">
        <f t="shared" si="72"/>
        <v>0</v>
      </c>
      <c r="AR121">
        <f t="shared" si="73"/>
        <v>0</v>
      </c>
      <c r="AS121">
        <f t="shared" si="63"/>
        <v>0</v>
      </c>
      <c r="AT121">
        <f t="shared" si="64"/>
        <v>0</v>
      </c>
      <c r="AU121">
        <f t="shared" si="65"/>
        <v>0</v>
      </c>
      <c r="AV121">
        <f t="shared" si="66"/>
        <v>0</v>
      </c>
      <c r="AW121">
        <f t="shared" si="67"/>
        <v>0</v>
      </c>
      <c r="AX121">
        <f t="shared" si="68"/>
        <v>0</v>
      </c>
      <c r="AY121">
        <f t="shared" si="69"/>
        <v>0</v>
      </c>
      <c r="AZ121" t="s">
        <v>246</v>
      </c>
    </row>
    <row r="122" spans="1:52">
      <c r="A122">
        <v>121</v>
      </c>
      <c r="B122" s="14">
        <v>46179</v>
      </c>
      <c r="C122" t="s">
        <v>18</v>
      </c>
      <c r="D122" t="s">
        <v>8</v>
      </c>
      <c r="E122" t="s">
        <v>433</v>
      </c>
      <c r="F122" t="s">
        <v>14</v>
      </c>
      <c r="G122">
        <v>0</v>
      </c>
      <c r="H122">
        <v>4</v>
      </c>
      <c r="I122" t="s">
        <v>248</v>
      </c>
      <c r="J122" t="s">
        <v>248</v>
      </c>
      <c r="K122" t="s">
        <v>432</v>
      </c>
      <c r="L122" t="s">
        <v>431</v>
      </c>
      <c r="M122" t="s">
        <v>11</v>
      </c>
      <c r="N122" t="s">
        <v>198</v>
      </c>
      <c r="O122">
        <f t="shared" si="37"/>
        <v>1</v>
      </c>
      <c r="P122">
        <f t="shared" si="38"/>
        <v>1</v>
      </c>
      <c r="Q122">
        <f t="shared" si="39"/>
        <v>0</v>
      </c>
      <c r="R122">
        <f t="shared" si="40"/>
        <v>0</v>
      </c>
      <c r="S122">
        <f t="shared" si="41"/>
        <v>0</v>
      </c>
      <c r="T122">
        <f t="shared" si="42"/>
        <v>0</v>
      </c>
      <c r="U122">
        <f t="shared" si="43"/>
        <v>0</v>
      </c>
      <c r="V122">
        <f t="shared" si="44"/>
        <v>0</v>
      </c>
      <c r="W122">
        <f t="shared" si="45"/>
        <v>0</v>
      </c>
      <c r="X122">
        <f t="shared" si="46"/>
        <v>0</v>
      </c>
      <c r="Y122">
        <f t="shared" si="47"/>
        <v>0</v>
      </c>
      <c r="Z122">
        <f t="shared" si="48"/>
        <v>0</v>
      </c>
      <c r="AA122">
        <f t="shared" si="49"/>
        <v>0</v>
      </c>
      <c r="AB122">
        <f t="shared" si="50"/>
        <v>0</v>
      </c>
      <c r="AC122">
        <f t="shared" si="51"/>
        <v>0</v>
      </c>
      <c r="AD122">
        <f t="shared" si="52"/>
        <v>0</v>
      </c>
      <c r="AE122">
        <f t="shared" si="53"/>
        <v>0</v>
      </c>
      <c r="AF122">
        <f t="shared" si="54"/>
        <v>0</v>
      </c>
      <c r="AG122">
        <f t="shared" si="55"/>
        <v>0</v>
      </c>
      <c r="AH122">
        <f t="shared" si="56"/>
        <v>0</v>
      </c>
      <c r="AI122">
        <f t="shared" si="57"/>
        <v>0</v>
      </c>
      <c r="AJ122">
        <f t="shared" si="58"/>
        <v>1</v>
      </c>
      <c r="AK122">
        <f t="shared" si="59"/>
        <v>0</v>
      </c>
      <c r="AL122">
        <f t="shared" si="70"/>
        <v>1</v>
      </c>
      <c r="AM122">
        <f t="shared" si="71"/>
        <v>0</v>
      </c>
      <c r="AN122">
        <f t="shared" si="60"/>
        <v>0</v>
      </c>
      <c r="AO122">
        <f t="shared" si="61"/>
        <v>0</v>
      </c>
      <c r="AP122">
        <f t="shared" si="62"/>
        <v>0</v>
      </c>
      <c r="AQ122">
        <f t="shared" si="72"/>
        <v>0</v>
      </c>
      <c r="AR122">
        <f t="shared" si="73"/>
        <v>0</v>
      </c>
      <c r="AS122">
        <f t="shared" si="63"/>
        <v>0</v>
      </c>
      <c r="AT122">
        <f t="shared" si="64"/>
        <v>0</v>
      </c>
      <c r="AU122">
        <f t="shared" si="65"/>
        <v>0</v>
      </c>
      <c r="AV122">
        <f t="shared" si="66"/>
        <v>0</v>
      </c>
      <c r="AW122">
        <f t="shared" si="67"/>
        <v>0</v>
      </c>
      <c r="AX122">
        <f t="shared" si="68"/>
        <v>0</v>
      </c>
      <c r="AY122">
        <f t="shared" si="69"/>
        <v>0</v>
      </c>
      <c r="AZ122" t="s">
        <v>246</v>
      </c>
    </row>
    <row r="123" spans="1:52">
      <c r="A123">
        <v>122</v>
      </c>
      <c r="B123" s="14">
        <v>46179</v>
      </c>
      <c r="C123" t="s">
        <v>18</v>
      </c>
      <c r="D123" t="s">
        <v>8</v>
      </c>
      <c r="E123" t="s">
        <v>430</v>
      </c>
      <c r="F123" t="s">
        <v>3</v>
      </c>
      <c r="G123">
        <v>0</v>
      </c>
      <c r="H123">
        <v>2</v>
      </c>
      <c r="I123" t="s">
        <v>248</v>
      </c>
      <c r="J123" t="s">
        <v>248</v>
      </c>
      <c r="K123" t="s">
        <v>429</v>
      </c>
      <c r="L123" t="s">
        <v>191</v>
      </c>
      <c r="M123" t="s">
        <v>11</v>
      </c>
      <c r="N123" t="s">
        <v>198</v>
      </c>
      <c r="O123">
        <f t="shared" si="37"/>
        <v>0</v>
      </c>
      <c r="P123">
        <f t="shared" si="38"/>
        <v>1</v>
      </c>
      <c r="Q123">
        <f t="shared" si="39"/>
        <v>0</v>
      </c>
      <c r="R123">
        <f t="shared" si="40"/>
        <v>0</v>
      </c>
      <c r="S123">
        <f t="shared" si="41"/>
        <v>0</v>
      </c>
      <c r="T123">
        <f t="shared" si="42"/>
        <v>0</v>
      </c>
      <c r="U123">
        <f t="shared" si="43"/>
        <v>0</v>
      </c>
      <c r="V123">
        <f t="shared" si="44"/>
        <v>0</v>
      </c>
      <c r="W123">
        <f t="shared" si="45"/>
        <v>0</v>
      </c>
      <c r="X123">
        <f t="shared" si="46"/>
        <v>0</v>
      </c>
      <c r="Y123">
        <f t="shared" si="47"/>
        <v>0</v>
      </c>
      <c r="Z123">
        <f t="shared" si="48"/>
        <v>0</v>
      </c>
      <c r="AA123">
        <f t="shared" si="49"/>
        <v>0</v>
      </c>
      <c r="AB123">
        <f t="shared" si="50"/>
        <v>0</v>
      </c>
      <c r="AC123">
        <f t="shared" si="51"/>
        <v>1</v>
      </c>
      <c r="AD123">
        <f t="shared" si="52"/>
        <v>0</v>
      </c>
      <c r="AE123">
        <f t="shared" si="53"/>
        <v>0</v>
      </c>
      <c r="AF123">
        <f t="shared" si="54"/>
        <v>0</v>
      </c>
      <c r="AG123">
        <f t="shared" si="55"/>
        <v>0</v>
      </c>
      <c r="AH123">
        <f t="shared" si="56"/>
        <v>0</v>
      </c>
      <c r="AI123">
        <f t="shared" si="57"/>
        <v>0</v>
      </c>
      <c r="AJ123">
        <f t="shared" si="58"/>
        <v>0</v>
      </c>
      <c r="AK123">
        <f t="shared" si="59"/>
        <v>0</v>
      </c>
      <c r="AL123">
        <f t="shared" si="70"/>
        <v>0</v>
      </c>
      <c r="AM123">
        <f t="shared" si="71"/>
        <v>0</v>
      </c>
      <c r="AN123">
        <f t="shared" si="60"/>
        <v>0</v>
      </c>
      <c r="AO123">
        <f t="shared" si="61"/>
        <v>0</v>
      </c>
      <c r="AP123">
        <f t="shared" si="62"/>
        <v>0</v>
      </c>
      <c r="AQ123">
        <f t="shared" si="72"/>
        <v>0</v>
      </c>
      <c r="AR123">
        <f t="shared" si="73"/>
        <v>0</v>
      </c>
      <c r="AS123">
        <f t="shared" si="63"/>
        <v>0</v>
      </c>
      <c r="AT123">
        <f t="shared" si="64"/>
        <v>0</v>
      </c>
      <c r="AU123">
        <f t="shared" si="65"/>
        <v>0</v>
      </c>
      <c r="AV123">
        <f t="shared" si="66"/>
        <v>0</v>
      </c>
      <c r="AW123">
        <f t="shared" si="67"/>
        <v>0</v>
      </c>
      <c r="AX123">
        <f t="shared" si="68"/>
        <v>0</v>
      </c>
      <c r="AY123">
        <f t="shared" si="69"/>
        <v>0</v>
      </c>
      <c r="AZ123" t="s">
        <v>246</v>
      </c>
    </row>
    <row r="124" spans="1:52">
      <c r="A124">
        <v>123</v>
      </c>
      <c r="B124" s="14">
        <v>46179</v>
      </c>
      <c r="C124" t="s">
        <v>18</v>
      </c>
      <c r="D124" t="s">
        <v>8</v>
      </c>
      <c r="E124" t="s">
        <v>428</v>
      </c>
      <c r="F124" t="s">
        <v>3</v>
      </c>
      <c r="G124">
        <v>0</v>
      </c>
      <c r="H124">
        <v>4</v>
      </c>
      <c r="I124" t="s">
        <v>248</v>
      </c>
      <c r="J124" t="s">
        <v>248</v>
      </c>
      <c r="K124" t="s">
        <v>427</v>
      </c>
      <c r="L124" t="s">
        <v>191</v>
      </c>
      <c r="M124" t="s">
        <v>11</v>
      </c>
      <c r="N124" t="s">
        <v>198</v>
      </c>
      <c r="O124">
        <f t="shared" si="37"/>
        <v>1</v>
      </c>
      <c r="P124">
        <f t="shared" si="38"/>
        <v>0</v>
      </c>
      <c r="Q124">
        <f t="shared" si="39"/>
        <v>0</v>
      </c>
      <c r="R124">
        <f t="shared" si="40"/>
        <v>0</v>
      </c>
      <c r="S124">
        <f t="shared" si="41"/>
        <v>0</v>
      </c>
      <c r="T124">
        <f t="shared" si="42"/>
        <v>0</v>
      </c>
      <c r="U124">
        <f t="shared" si="43"/>
        <v>1</v>
      </c>
      <c r="V124">
        <f t="shared" si="44"/>
        <v>0</v>
      </c>
      <c r="W124">
        <f t="shared" si="45"/>
        <v>1</v>
      </c>
      <c r="X124">
        <f t="shared" si="46"/>
        <v>0</v>
      </c>
      <c r="Y124">
        <f t="shared" si="47"/>
        <v>0</v>
      </c>
      <c r="Z124">
        <f t="shared" si="48"/>
        <v>0</v>
      </c>
      <c r="AA124">
        <f t="shared" si="49"/>
        <v>1</v>
      </c>
      <c r="AB124">
        <f t="shared" si="50"/>
        <v>0</v>
      </c>
      <c r="AC124">
        <f t="shared" si="51"/>
        <v>1</v>
      </c>
      <c r="AD124">
        <f t="shared" si="52"/>
        <v>0</v>
      </c>
      <c r="AE124">
        <f t="shared" si="53"/>
        <v>0</v>
      </c>
      <c r="AF124">
        <f t="shared" si="54"/>
        <v>0</v>
      </c>
      <c r="AG124">
        <f t="shared" si="55"/>
        <v>0</v>
      </c>
      <c r="AH124">
        <f t="shared" si="56"/>
        <v>0</v>
      </c>
      <c r="AI124">
        <f t="shared" si="57"/>
        <v>0</v>
      </c>
      <c r="AJ124">
        <f t="shared" si="58"/>
        <v>0</v>
      </c>
      <c r="AK124">
        <f t="shared" si="59"/>
        <v>0</v>
      </c>
      <c r="AL124">
        <f t="shared" si="70"/>
        <v>0</v>
      </c>
      <c r="AM124">
        <f t="shared" si="71"/>
        <v>0</v>
      </c>
      <c r="AN124">
        <f t="shared" si="60"/>
        <v>0</v>
      </c>
      <c r="AO124">
        <f t="shared" si="61"/>
        <v>0</v>
      </c>
      <c r="AP124">
        <f t="shared" si="62"/>
        <v>0</v>
      </c>
      <c r="AQ124">
        <f t="shared" si="72"/>
        <v>0</v>
      </c>
      <c r="AR124">
        <f t="shared" si="73"/>
        <v>0</v>
      </c>
      <c r="AS124">
        <f t="shared" si="63"/>
        <v>0</v>
      </c>
      <c r="AT124">
        <f t="shared" si="64"/>
        <v>0</v>
      </c>
      <c r="AU124">
        <f t="shared" si="65"/>
        <v>0</v>
      </c>
      <c r="AV124">
        <f t="shared" si="66"/>
        <v>0</v>
      </c>
      <c r="AW124">
        <f t="shared" si="67"/>
        <v>0</v>
      </c>
      <c r="AX124">
        <f t="shared" si="68"/>
        <v>0</v>
      </c>
      <c r="AY124">
        <f t="shared" si="69"/>
        <v>0</v>
      </c>
      <c r="AZ124" t="s">
        <v>246</v>
      </c>
    </row>
    <row r="125" spans="1:52">
      <c r="A125">
        <v>124</v>
      </c>
      <c r="B125" s="14">
        <v>46179</v>
      </c>
      <c r="C125" t="s">
        <v>18</v>
      </c>
      <c r="D125" t="s">
        <v>8</v>
      </c>
      <c r="E125" t="s">
        <v>426</v>
      </c>
      <c r="F125" t="s">
        <v>3</v>
      </c>
      <c r="G125">
        <v>0</v>
      </c>
      <c r="H125">
        <v>4</v>
      </c>
      <c r="I125" t="s">
        <v>248</v>
      </c>
      <c r="J125" t="s">
        <v>248</v>
      </c>
      <c r="K125" t="s">
        <v>425</v>
      </c>
      <c r="L125" t="s">
        <v>191</v>
      </c>
      <c r="M125" t="s">
        <v>11</v>
      </c>
      <c r="N125" t="s">
        <v>198</v>
      </c>
      <c r="O125">
        <f t="shared" si="37"/>
        <v>1</v>
      </c>
      <c r="P125">
        <f t="shared" si="38"/>
        <v>1</v>
      </c>
      <c r="Q125">
        <f t="shared" si="39"/>
        <v>0</v>
      </c>
      <c r="R125">
        <f t="shared" si="40"/>
        <v>0</v>
      </c>
      <c r="S125">
        <f t="shared" si="41"/>
        <v>0</v>
      </c>
      <c r="T125">
        <f t="shared" si="42"/>
        <v>0</v>
      </c>
      <c r="U125">
        <f t="shared" si="43"/>
        <v>0</v>
      </c>
      <c r="V125">
        <f t="shared" si="44"/>
        <v>0</v>
      </c>
      <c r="W125">
        <f t="shared" si="45"/>
        <v>1</v>
      </c>
      <c r="X125">
        <f t="shared" si="46"/>
        <v>1</v>
      </c>
      <c r="Y125">
        <f t="shared" si="47"/>
        <v>0</v>
      </c>
      <c r="Z125">
        <f t="shared" si="48"/>
        <v>0</v>
      </c>
      <c r="AA125">
        <f t="shared" si="49"/>
        <v>1</v>
      </c>
      <c r="AB125">
        <f t="shared" si="50"/>
        <v>1</v>
      </c>
      <c r="AC125">
        <f t="shared" si="51"/>
        <v>0</v>
      </c>
      <c r="AD125">
        <f t="shared" si="52"/>
        <v>0</v>
      </c>
      <c r="AE125">
        <f t="shared" si="53"/>
        <v>0</v>
      </c>
      <c r="AF125">
        <f t="shared" si="54"/>
        <v>0</v>
      </c>
      <c r="AG125">
        <f t="shared" si="55"/>
        <v>0</v>
      </c>
      <c r="AH125">
        <f t="shared" si="56"/>
        <v>0</v>
      </c>
      <c r="AI125">
        <f t="shared" si="57"/>
        <v>0</v>
      </c>
      <c r="AJ125">
        <f t="shared" si="58"/>
        <v>0</v>
      </c>
      <c r="AK125">
        <f t="shared" si="59"/>
        <v>0</v>
      </c>
      <c r="AL125">
        <f t="shared" si="70"/>
        <v>0</v>
      </c>
      <c r="AM125">
        <f t="shared" si="71"/>
        <v>0</v>
      </c>
      <c r="AN125">
        <f t="shared" si="60"/>
        <v>0</v>
      </c>
      <c r="AO125">
        <f t="shared" si="61"/>
        <v>0</v>
      </c>
      <c r="AP125">
        <f t="shared" si="62"/>
        <v>0</v>
      </c>
      <c r="AQ125">
        <f t="shared" si="72"/>
        <v>0</v>
      </c>
      <c r="AR125">
        <f t="shared" si="73"/>
        <v>0</v>
      </c>
      <c r="AS125">
        <f t="shared" si="63"/>
        <v>0</v>
      </c>
      <c r="AT125">
        <f t="shared" si="64"/>
        <v>0</v>
      </c>
      <c r="AU125">
        <f t="shared" si="65"/>
        <v>0</v>
      </c>
      <c r="AV125">
        <f t="shared" si="66"/>
        <v>0</v>
      </c>
      <c r="AW125">
        <f t="shared" si="67"/>
        <v>0</v>
      </c>
      <c r="AX125">
        <f t="shared" si="68"/>
        <v>0</v>
      </c>
      <c r="AY125">
        <f t="shared" si="69"/>
        <v>0</v>
      </c>
      <c r="AZ125" t="s">
        <v>246</v>
      </c>
    </row>
    <row r="126" spans="1:52">
      <c r="A126">
        <v>125</v>
      </c>
      <c r="B126" s="14">
        <v>46179</v>
      </c>
      <c r="C126" t="s">
        <v>18</v>
      </c>
      <c r="D126" t="s">
        <v>8</v>
      </c>
      <c r="E126" t="s">
        <v>424</v>
      </c>
      <c r="F126" t="s">
        <v>12</v>
      </c>
      <c r="G126">
        <v>0</v>
      </c>
      <c r="H126">
        <v>2</v>
      </c>
      <c r="I126" t="s">
        <v>248</v>
      </c>
      <c r="J126" t="s">
        <v>248</v>
      </c>
      <c r="K126" t="s">
        <v>423</v>
      </c>
      <c r="L126" t="s">
        <v>191</v>
      </c>
      <c r="M126" t="s">
        <v>11</v>
      </c>
      <c r="N126" t="s">
        <v>190</v>
      </c>
      <c r="O126">
        <f t="shared" si="37"/>
        <v>1</v>
      </c>
      <c r="P126">
        <f t="shared" si="38"/>
        <v>1</v>
      </c>
      <c r="Q126">
        <f t="shared" si="39"/>
        <v>0</v>
      </c>
      <c r="R126">
        <f t="shared" si="40"/>
        <v>0</v>
      </c>
      <c r="S126">
        <f t="shared" si="41"/>
        <v>0</v>
      </c>
      <c r="T126">
        <f t="shared" si="42"/>
        <v>0</v>
      </c>
      <c r="U126">
        <f t="shared" si="43"/>
        <v>0</v>
      </c>
      <c r="V126">
        <f t="shared" si="44"/>
        <v>0</v>
      </c>
      <c r="W126">
        <f t="shared" si="45"/>
        <v>0</v>
      </c>
      <c r="X126">
        <f t="shared" si="46"/>
        <v>0</v>
      </c>
      <c r="Y126">
        <f t="shared" si="47"/>
        <v>0</v>
      </c>
      <c r="Z126">
        <f t="shared" si="48"/>
        <v>0</v>
      </c>
      <c r="AA126">
        <f t="shared" si="49"/>
        <v>1</v>
      </c>
      <c r="AB126">
        <f t="shared" si="50"/>
        <v>0</v>
      </c>
      <c r="AC126">
        <f t="shared" si="51"/>
        <v>1</v>
      </c>
      <c r="AD126">
        <f t="shared" si="52"/>
        <v>0</v>
      </c>
      <c r="AE126">
        <f t="shared" si="53"/>
        <v>0</v>
      </c>
      <c r="AF126">
        <f t="shared" si="54"/>
        <v>0</v>
      </c>
      <c r="AG126">
        <f t="shared" si="55"/>
        <v>0</v>
      </c>
      <c r="AH126">
        <f t="shared" si="56"/>
        <v>0</v>
      </c>
      <c r="AI126">
        <f t="shared" si="57"/>
        <v>0</v>
      </c>
      <c r="AJ126">
        <f t="shared" si="58"/>
        <v>0</v>
      </c>
      <c r="AK126">
        <f t="shared" si="59"/>
        <v>0</v>
      </c>
      <c r="AL126">
        <f t="shared" si="70"/>
        <v>0</v>
      </c>
      <c r="AM126">
        <f t="shared" si="71"/>
        <v>0</v>
      </c>
      <c r="AN126">
        <f t="shared" si="60"/>
        <v>0</v>
      </c>
      <c r="AO126">
        <f t="shared" si="61"/>
        <v>0</v>
      </c>
      <c r="AP126">
        <f t="shared" si="62"/>
        <v>0</v>
      </c>
      <c r="AQ126">
        <f t="shared" si="72"/>
        <v>0</v>
      </c>
      <c r="AR126">
        <f t="shared" si="73"/>
        <v>0</v>
      </c>
      <c r="AS126">
        <f t="shared" si="63"/>
        <v>0</v>
      </c>
      <c r="AT126">
        <f t="shared" si="64"/>
        <v>0</v>
      </c>
      <c r="AU126">
        <f t="shared" si="65"/>
        <v>0</v>
      </c>
      <c r="AV126">
        <f t="shared" si="66"/>
        <v>0</v>
      </c>
      <c r="AW126">
        <f t="shared" si="67"/>
        <v>0</v>
      </c>
      <c r="AX126">
        <f t="shared" si="68"/>
        <v>0</v>
      </c>
      <c r="AY126">
        <f t="shared" si="69"/>
        <v>0</v>
      </c>
      <c r="AZ126" t="s">
        <v>246</v>
      </c>
    </row>
    <row r="127" spans="1:52">
      <c r="A127">
        <v>126</v>
      </c>
      <c r="B127" s="14">
        <v>46179</v>
      </c>
      <c r="C127" t="s">
        <v>18</v>
      </c>
      <c r="D127" t="s">
        <v>8</v>
      </c>
      <c r="E127" t="s">
        <v>422</v>
      </c>
      <c r="F127" t="s">
        <v>20</v>
      </c>
      <c r="G127">
        <v>0</v>
      </c>
      <c r="H127">
        <v>3</v>
      </c>
      <c r="I127" t="s">
        <v>248</v>
      </c>
      <c r="J127" t="s">
        <v>248</v>
      </c>
      <c r="K127" t="s">
        <v>421</v>
      </c>
      <c r="L127" t="s">
        <v>420</v>
      </c>
      <c r="M127" t="s">
        <v>20</v>
      </c>
      <c r="N127" t="s">
        <v>190</v>
      </c>
      <c r="O127">
        <f t="shared" si="37"/>
        <v>1</v>
      </c>
      <c r="P127">
        <f t="shared" si="38"/>
        <v>1</v>
      </c>
      <c r="Q127">
        <f t="shared" si="39"/>
        <v>0</v>
      </c>
      <c r="R127">
        <f t="shared" si="40"/>
        <v>0</v>
      </c>
      <c r="S127">
        <f t="shared" si="41"/>
        <v>0</v>
      </c>
      <c r="T127">
        <f t="shared" si="42"/>
        <v>0</v>
      </c>
      <c r="U127">
        <f t="shared" si="43"/>
        <v>0</v>
      </c>
      <c r="V127">
        <f t="shared" si="44"/>
        <v>0</v>
      </c>
      <c r="W127">
        <f t="shared" si="45"/>
        <v>0</v>
      </c>
      <c r="X127">
        <f t="shared" si="46"/>
        <v>0</v>
      </c>
      <c r="Y127">
        <f t="shared" si="47"/>
        <v>1</v>
      </c>
      <c r="Z127">
        <f t="shared" si="48"/>
        <v>0</v>
      </c>
      <c r="AA127">
        <f t="shared" si="49"/>
        <v>0</v>
      </c>
      <c r="AB127">
        <f t="shared" si="50"/>
        <v>0</v>
      </c>
      <c r="AC127">
        <f t="shared" si="51"/>
        <v>0</v>
      </c>
      <c r="AD127">
        <f t="shared" si="52"/>
        <v>0</v>
      </c>
      <c r="AE127">
        <f t="shared" si="53"/>
        <v>0</v>
      </c>
      <c r="AF127">
        <f t="shared" si="54"/>
        <v>0</v>
      </c>
      <c r="AG127">
        <f t="shared" si="55"/>
        <v>0</v>
      </c>
      <c r="AH127">
        <f t="shared" si="56"/>
        <v>0</v>
      </c>
      <c r="AI127">
        <f t="shared" si="57"/>
        <v>0</v>
      </c>
      <c r="AJ127">
        <f t="shared" si="58"/>
        <v>0</v>
      </c>
      <c r="AK127">
        <f t="shared" si="59"/>
        <v>0</v>
      </c>
      <c r="AL127">
        <f t="shared" si="70"/>
        <v>0</v>
      </c>
      <c r="AM127">
        <f t="shared" si="71"/>
        <v>0</v>
      </c>
      <c r="AN127">
        <f t="shared" si="60"/>
        <v>0</v>
      </c>
      <c r="AO127">
        <f t="shared" si="61"/>
        <v>0</v>
      </c>
      <c r="AP127">
        <f t="shared" si="62"/>
        <v>0</v>
      </c>
      <c r="AQ127">
        <f t="shared" si="72"/>
        <v>0</v>
      </c>
      <c r="AR127">
        <f t="shared" si="73"/>
        <v>0</v>
      </c>
      <c r="AS127">
        <f t="shared" si="63"/>
        <v>0</v>
      </c>
      <c r="AT127">
        <f t="shared" si="64"/>
        <v>0</v>
      </c>
      <c r="AU127">
        <f t="shared" si="65"/>
        <v>0</v>
      </c>
      <c r="AV127">
        <f t="shared" si="66"/>
        <v>0</v>
      </c>
      <c r="AW127">
        <f t="shared" si="67"/>
        <v>0</v>
      </c>
      <c r="AX127">
        <f t="shared" si="68"/>
        <v>0</v>
      </c>
      <c r="AY127">
        <f t="shared" si="69"/>
        <v>0</v>
      </c>
      <c r="AZ127" t="s">
        <v>246</v>
      </c>
    </row>
    <row r="128" spans="1:52">
      <c r="A128">
        <v>127</v>
      </c>
      <c r="B128" s="14">
        <v>46179</v>
      </c>
      <c r="C128" t="s">
        <v>18</v>
      </c>
      <c r="D128" t="s">
        <v>8</v>
      </c>
      <c r="E128" t="s">
        <v>419</v>
      </c>
      <c r="F128" t="s">
        <v>5</v>
      </c>
      <c r="G128">
        <v>0</v>
      </c>
      <c r="H128">
        <v>2</v>
      </c>
      <c r="I128" t="s">
        <v>248</v>
      </c>
      <c r="J128" t="s">
        <v>248</v>
      </c>
      <c r="K128" t="s">
        <v>418</v>
      </c>
      <c r="L128" t="s">
        <v>191</v>
      </c>
      <c r="M128" t="s">
        <v>11</v>
      </c>
      <c r="N128" t="s">
        <v>190</v>
      </c>
      <c r="O128">
        <f t="shared" si="37"/>
        <v>0</v>
      </c>
      <c r="P128">
        <f t="shared" si="38"/>
        <v>1</v>
      </c>
      <c r="Q128">
        <f t="shared" si="39"/>
        <v>0</v>
      </c>
      <c r="R128">
        <f t="shared" si="40"/>
        <v>0</v>
      </c>
      <c r="S128">
        <f t="shared" si="41"/>
        <v>0</v>
      </c>
      <c r="T128">
        <f t="shared" si="42"/>
        <v>0</v>
      </c>
      <c r="U128">
        <f t="shared" si="43"/>
        <v>0</v>
      </c>
      <c r="V128">
        <f t="shared" si="44"/>
        <v>0</v>
      </c>
      <c r="W128">
        <f t="shared" si="45"/>
        <v>0</v>
      </c>
      <c r="X128">
        <f t="shared" si="46"/>
        <v>0</v>
      </c>
      <c r="Y128">
        <f t="shared" si="47"/>
        <v>0</v>
      </c>
      <c r="Z128">
        <f t="shared" si="48"/>
        <v>0</v>
      </c>
      <c r="AA128">
        <f t="shared" si="49"/>
        <v>0</v>
      </c>
      <c r="AB128">
        <f t="shared" si="50"/>
        <v>0</v>
      </c>
      <c r="AC128">
        <f t="shared" si="51"/>
        <v>0</v>
      </c>
      <c r="AD128">
        <f t="shared" si="52"/>
        <v>0</v>
      </c>
      <c r="AE128">
        <f t="shared" si="53"/>
        <v>0</v>
      </c>
      <c r="AF128">
        <f t="shared" si="54"/>
        <v>0</v>
      </c>
      <c r="AG128">
        <f t="shared" si="55"/>
        <v>0</v>
      </c>
      <c r="AH128">
        <f t="shared" si="56"/>
        <v>0</v>
      </c>
      <c r="AI128">
        <f t="shared" si="57"/>
        <v>0</v>
      </c>
      <c r="AJ128">
        <f t="shared" si="58"/>
        <v>0</v>
      </c>
      <c r="AK128">
        <f t="shared" si="59"/>
        <v>0</v>
      </c>
      <c r="AL128">
        <f t="shared" si="70"/>
        <v>0</v>
      </c>
      <c r="AM128">
        <f t="shared" si="71"/>
        <v>0</v>
      </c>
      <c r="AN128">
        <f t="shared" si="60"/>
        <v>0</v>
      </c>
      <c r="AO128">
        <f t="shared" si="61"/>
        <v>0</v>
      </c>
      <c r="AP128">
        <f t="shared" si="62"/>
        <v>0</v>
      </c>
      <c r="AQ128">
        <f t="shared" si="72"/>
        <v>0</v>
      </c>
      <c r="AR128">
        <f t="shared" si="73"/>
        <v>0</v>
      </c>
      <c r="AS128">
        <f t="shared" si="63"/>
        <v>0</v>
      </c>
      <c r="AT128">
        <f t="shared" si="64"/>
        <v>0</v>
      </c>
      <c r="AU128">
        <f t="shared" si="65"/>
        <v>0</v>
      </c>
      <c r="AV128">
        <f t="shared" si="66"/>
        <v>0</v>
      </c>
      <c r="AW128">
        <f t="shared" si="67"/>
        <v>0</v>
      </c>
      <c r="AX128">
        <f t="shared" si="68"/>
        <v>0</v>
      </c>
      <c r="AY128">
        <f t="shared" si="69"/>
        <v>0</v>
      </c>
      <c r="AZ128" t="s">
        <v>246</v>
      </c>
    </row>
    <row r="129" spans="1:52">
      <c r="A129">
        <v>128</v>
      </c>
      <c r="B129" s="14">
        <v>46179</v>
      </c>
      <c r="C129" t="s">
        <v>18</v>
      </c>
      <c r="D129" t="s">
        <v>8</v>
      </c>
      <c r="E129" t="s">
        <v>417</v>
      </c>
      <c r="F129" t="s">
        <v>3</v>
      </c>
      <c r="G129">
        <v>0</v>
      </c>
      <c r="H129">
        <v>4</v>
      </c>
      <c r="I129" t="s">
        <v>248</v>
      </c>
      <c r="J129" t="s">
        <v>248</v>
      </c>
      <c r="K129" t="s">
        <v>416</v>
      </c>
      <c r="L129" t="s">
        <v>191</v>
      </c>
      <c r="M129" t="s">
        <v>11</v>
      </c>
      <c r="N129" t="s">
        <v>198</v>
      </c>
      <c r="O129">
        <f t="shared" si="37"/>
        <v>1</v>
      </c>
      <c r="P129">
        <f t="shared" si="38"/>
        <v>0</v>
      </c>
      <c r="Q129">
        <f t="shared" si="39"/>
        <v>0</v>
      </c>
      <c r="R129">
        <f t="shared" si="40"/>
        <v>0</v>
      </c>
      <c r="S129">
        <f t="shared" si="41"/>
        <v>0</v>
      </c>
      <c r="T129">
        <f t="shared" si="42"/>
        <v>0</v>
      </c>
      <c r="U129">
        <f t="shared" si="43"/>
        <v>1</v>
      </c>
      <c r="V129">
        <f t="shared" si="44"/>
        <v>0</v>
      </c>
      <c r="W129">
        <f t="shared" si="45"/>
        <v>0</v>
      </c>
      <c r="X129">
        <f t="shared" si="46"/>
        <v>0</v>
      </c>
      <c r="Y129">
        <f t="shared" si="47"/>
        <v>0</v>
      </c>
      <c r="Z129">
        <f t="shared" si="48"/>
        <v>0</v>
      </c>
      <c r="AA129">
        <f t="shared" si="49"/>
        <v>0</v>
      </c>
      <c r="AB129">
        <f t="shared" si="50"/>
        <v>0</v>
      </c>
      <c r="AC129">
        <f t="shared" si="51"/>
        <v>0</v>
      </c>
      <c r="AD129">
        <f t="shared" si="52"/>
        <v>0</v>
      </c>
      <c r="AE129">
        <f t="shared" si="53"/>
        <v>0</v>
      </c>
      <c r="AF129">
        <f t="shared" si="54"/>
        <v>0</v>
      </c>
      <c r="AG129">
        <f t="shared" si="55"/>
        <v>0</v>
      </c>
      <c r="AH129">
        <f t="shared" si="56"/>
        <v>0</v>
      </c>
      <c r="AI129">
        <f t="shared" si="57"/>
        <v>0</v>
      </c>
      <c r="AJ129">
        <f t="shared" si="58"/>
        <v>0</v>
      </c>
      <c r="AK129">
        <f t="shared" si="59"/>
        <v>0</v>
      </c>
      <c r="AL129">
        <f t="shared" si="70"/>
        <v>0</v>
      </c>
      <c r="AM129">
        <f t="shared" si="71"/>
        <v>0</v>
      </c>
      <c r="AN129">
        <f t="shared" si="60"/>
        <v>0</v>
      </c>
      <c r="AO129">
        <f t="shared" si="61"/>
        <v>0</v>
      </c>
      <c r="AP129">
        <f t="shared" si="62"/>
        <v>0</v>
      </c>
      <c r="AQ129">
        <f t="shared" si="72"/>
        <v>0</v>
      </c>
      <c r="AR129">
        <f t="shared" si="73"/>
        <v>0</v>
      </c>
      <c r="AS129">
        <f t="shared" si="63"/>
        <v>0</v>
      </c>
      <c r="AT129">
        <f t="shared" si="64"/>
        <v>0</v>
      </c>
      <c r="AU129">
        <f t="shared" si="65"/>
        <v>0</v>
      </c>
      <c r="AV129">
        <f t="shared" si="66"/>
        <v>0</v>
      </c>
      <c r="AW129">
        <f t="shared" si="67"/>
        <v>0</v>
      </c>
      <c r="AX129">
        <f t="shared" si="68"/>
        <v>0</v>
      </c>
      <c r="AY129">
        <f t="shared" si="69"/>
        <v>0</v>
      </c>
      <c r="AZ129" t="s">
        <v>246</v>
      </c>
    </row>
    <row r="130" spans="1:52">
      <c r="A130">
        <v>129</v>
      </c>
      <c r="B130" s="14">
        <v>46179</v>
      </c>
      <c r="C130" t="s">
        <v>18</v>
      </c>
      <c r="D130" t="s">
        <v>8</v>
      </c>
      <c r="E130" t="s">
        <v>415</v>
      </c>
      <c r="F130" t="s">
        <v>17</v>
      </c>
      <c r="G130">
        <v>0</v>
      </c>
      <c r="H130">
        <v>2</v>
      </c>
      <c r="I130" t="s">
        <v>248</v>
      </c>
      <c r="J130" t="s">
        <v>248</v>
      </c>
      <c r="K130" t="s">
        <v>414</v>
      </c>
      <c r="L130" t="s">
        <v>191</v>
      </c>
      <c r="M130" t="s">
        <v>11</v>
      </c>
      <c r="N130" t="s">
        <v>198</v>
      </c>
      <c r="O130">
        <f t="shared" ref="O130:O193" si="74">IF(ISBLANK(K130),0,IF(ISNUMBER(SEARCH("sql",K130)),1,0))</f>
        <v>0</v>
      </c>
      <c r="P130">
        <f t="shared" ref="P130:P193" si="75">IF(ISBLANK(K130),0,IF(ISNUMBER(SEARCH("Python",K130)),1,0))</f>
        <v>1</v>
      </c>
      <c r="Q130">
        <f t="shared" ref="Q130:Q193" si="76">IF(ISBLANK(K130),0,IF(ISNUMBER(SEARCH("PowerBI",K130)),1,0))</f>
        <v>0</v>
      </c>
      <c r="R130">
        <f t="shared" ref="R130:R193" si="77">IF(ISBLANK(K130),0,IF(ISNUMBER(SEARCH("Tableau",K130)),1,0))</f>
        <v>0</v>
      </c>
      <c r="S130">
        <f t="shared" ref="S130:S193" si="78">IF(ISBLANK(K130),0,IF(ISNUMBER(SEARCH("Excel",K130)),1,0))</f>
        <v>0</v>
      </c>
      <c r="T130">
        <f t="shared" ref="T130:T193" si="79">IF(ISBLANK(K130),0,IF(ISNUMBER(SEARCH("Statistics",K130)),1,0))</f>
        <v>0</v>
      </c>
      <c r="U130">
        <f t="shared" ref="U130:U193" si="80">IF(ISBLANK(K130),0,IF(ISNUMBER(SEARCH("AWS",K130)),1,0))</f>
        <v>1</v>
      </c>
      <c r="V130">
        <f t="shared" ref="V130:V193" si="81">IF(ISBLANK(K130),0,IF(ISNUMBER(SEARCH("GCP",K130)),1,0))</f>
        <v>0</v>
      </c>
      <c r="W130">
        <f t="shared" ref="W130:W193" si="82">IF(ISBLANK(K130),0,IF(ISNUMBER(SEARCH("NoSQL",K130)),1,0))</f>
        <v>0</v>
      </c>
      <c r="X130">
        <f t="shared" ref="X130:X193" si="83">IF(ISBLANK(K130),0,IF(ISNUMBER(SEARCH("Data Modeling",K130)),1,0))</f>
        <v>0</v>
      </c>
      <c r="Y130">
        <f t="shared" ref="Y130:Y193" si="84">IF(ISBLANK(K130),0,IF(ISNUMBER(SEARCH("Pandas",K130)),1,0))</f>
        <v>0</v>
      </c>
      <c r="Z130">
        <f t="shared" ref="Z130:Z193" si="85">IF(ISBLANK(K130),0,IF(ISNUMBER(SEARCH("Numpy",K130)),1,0))</f>
        <v>0</v>
      </c>
      <c r="AA130">
        <f t="shared" ref="AA130:AA193" si="86">IF(ISBLANK(K130),0,IF(ISNUMBER(SEARCH("Pyspark",K130)),1,0))</f>
        <v>1</v>
      </c>
      <c r="AB130">
        <f t="shared" ref="AB130:AB193" si="87">IF(ISBLANK(K130),0,IF(ISNUMBER(SEARCH("Hadoop",K130)),1,0))</f>
        <v>0</v>
      </c>
      <c r="AC130">
        <f t="shared" ref="AC130:AC193" si="88">IF(ISBLANK(K130),0,IF(ISNUMBER(SEARCH("ETL",K130)),1,0))</f>
        <v>1</v>
      </c>
      <c r="AD130">
        <f t="shared" ref="AD130:AD193" si="89">IF(ISBLANK(K130),0,IF(ISNUMBER(SEARCH("Azure",K130)),1,0))</f>
        <v>0</v>
      </c>
      <c r="AE130">
        <f t="shared" ref="AE130:AE193" si="90">IF(ISBLANK(K130),0,IF(ISNUMBER(SEARCH("Databricks",K130)),1,0))</f>
        <v>0</v>
      </c>
      <c r="AF130">
        <f t="shared" ref="AF130:AF193" si="91">IF(ISBLANK(K130),0,IF(ISNUMBER(SEARCH("A/B Testing",K130)),1,0))</f>
        <v>0</v>
      </c>
      <c r="AG130">
        <f t="shared" ref="AG130:AG193" si="92">IF(ISBLANK(K130),0,IF(ISNUMBER(SEARCH("Snowflake",K130)),1,0))</f>
        <v>0</v>
      </c>
      <c r="AH130">
        <f t="shared" ref="AH130:AH193" si="93">IF(ISBLANK(K130),0,IF(ISNUMBER(SEARCH("Agile",K130)),1,0))</f>
        <v>0</v>
      </c>
      <c r="AI130">
        <f t="shared" ref="AI130:AI193" si="94">IF(ISBLANK(K130),0,IF(ISNUMBER(SEARCH("Jira",K130)),1,0))</f>
        <v>0</v>
      </c>
      <c r="AJ130">
        <f t="shared" ref="AJ130:AJ193" si="95">IF(ISBLANK(K130),0,IF(ISNUMBER(SEARCH("Git",K130)),1,0))</f>
        <v>1</v>
      </c>
      <c r="AK130">
        <f t="shared" ref="AK130:AK193" si="96">IF(ISBLANK(K130),0,IF(ISNUMBER(SEARCH("Reporting",K130)),1,0))</f>
        <v>0</v>
      </c>
      <c r="AL130">
        <f t="shared" si="70"/>
        <v>0</v>
      </c>
      <c r="AM130">
        <f t="shared" si="71"/>
        <v>0</v>
      </c>
      <c r="AN130">
        <f t="shared" ref="AN130:AN193" si="97">IF(ISBLANK(L130),0,IF(ISNUMBER(SEARCH("SQL",L130)),1,0))</f>
        <v>0</v>
      </c>
      <c r="AO130">
        <f t="shared" ref="AO130:AO193" si="98">IF(ISBLANK(L130),0,IF(ISNUMBER(SEARCH("Airflow",L130)),1,0))</f>
        <v>0</v>
      </c>
      <c r="AP130">
        <f t="shared" ref="AP130:AP193" si="99">IF(ISBLANK(L130),0,IF(ISNUMBER(SEARCH("Kafka",L130)),1,0))</f>
        <v>0</v>
      </c>
      <c r="AQ130">
        <f t="shared" si="72"/>
        <v>0</v>
      </c>
      <c r="AR130">
        <f t="shared" si="73"/>
        <v>1</v>
      </c>
      <c r="AS130">
        <f t="shared" ref="AS130:AS193" si="100">IF(ISBLANK(L132),0,IF(ISNUMBER(SEARCH("Docker",L132)),1,0))</f>
        <v>1</v>
      </c>
      <c r="AT130">
        <f t="shared" ref="AT130:AT193" si="101">IF(ISBLANK(L132),0,IF(ISNUMBER(SEARCH("dbt",L132)),1,0))</f>
        <v>0</v>
      </c>
      <c r="AU130">
        <f t="shared" ref="AU130:AU193" si="102">IF(ISBLANK(L132),0,IF(ISNUMBER(SEARCH("AWS",L132)),1,0))</f>
        <v>0</v>
      </c>
      <c r="AV130">
        <f t="shared" ref="AV130:AV193" si="103">IF(ISBLANK(L132),0,IF(ISNUMBER(SEARCH("GCP",L132)),1,0))</f>
        <v>0</v>
      </c>
      <c r="AW130">
        <f t="shared" ref="AW130:AW193" si="104">IF(ISBLANK(L132),0,IF(ISNUMBER(SEARCH("Azure",L132)),1,0))</f>
        <v>0</v>
      </c>
      <c r="AX130">
        <f t="shared" ref="AX130:AX193" si="105">IF(ISBLANK(M132),0,IF(ISNUMBER(SEARCH("Tableau",L132)),1,0))</f>
        <v>0</v>
      </c>
      <c r="AY130">
        <f t="shared" ref="AY130:AY193" si="106">IF(ISBLANK(N132),0,IF(ISNUMBER(SEARCH("PowerBI",L132)),1,0))</f>
        <v>0</v>
      </c>
      <c r="AZ130" t="s">
        <v>246</v>
      </c>
    </row>
    <row r="131" spans="1:52">
      <c r="A131">
        <v>130</v>
      </c>
      <c r="B131" s="14">
        <v>46179</v>
      </c>
      <c r="C131" t="s">
        <v>18</v>
      </c>
      <c r="D131" t="s">
        <v>8</v>
      </c>
      <c r="E131" t="s">
        <v>413</v>
      </c>
      <c r="F131" t="s">
        <v>3</v>
      </c>
      <c r="G131">
        <v>0</v>
      </c>
      <c r="H131">
        <v>2</v>
      </c>
      <c r="I131" t="s">
        <v>248</v>
      </c>
      <c r="J131" t="s">
        <v>248</v>
      </c>
      <c r="K131" t="s">
        <v>412</v>
      </c>
      <c r="L131" t="s">
        <v>411</v>
      </c>
      <c r="M131" t="s">
        <v>11</v>
      </c>
      <c r="N131" t="s">
        <v>198</v>
      </c>
      <c r="O131">
        <f t="shared" si="74"/>
        <v>1</v>
      </c>
      <c r="P131">
        <f t="shared" si="75"/>
        <v>0</v>
      </c>
      <c r="Q131">
        <f t="shared" si="76"/>
        <v>0</v>
      </c>
      <c r="R131">
        <f t="shared" si="77"/>
        <v>0</v>
      </c>
      <c r="S131">
        <f t="shared" si="78"/>
        <v>0</v>
      </c>
      <c r="T131">
        <f t="shared" si="79"/>
        <v>0</v>
      </c>
      <c r="U131">
        <f t="shared" si="80"/>
        <v>0</v>
      </c>
      <c r="V131">
        <f t="shared" si="81"/>
        <v>1</v>
      </c>
      <c r="W131">
        <f t="shared" si="82"/>
        <v>0</v>
      </c>
      <c r="X131">
        <f t="shared" si="83"/>
        <v>0</v>
      </c>
      <c r="Y131">
        <f t="shared" si="84"/>
        <v>0</v>
      </c>
      <c r="Z131">
        <f t="shared" si="85"/>
        <v>0</v>
      </c>
      <c r="AA131">
        <f t="shared" si="86"/>
        <v>1</v>
      </c>
      <c r="AB131">
        <f t="shared" si="87"/>
        <v>0</v>
      </c>
      <c r="AC131">
        <f t="shared" si="88"/>
        <v>0</v>
      </c>
      <c r="AD131">
        <f t="shared" si="89"/>
        <v>0</v>
      </c>
      <c r="AE131">
        <f t="shared" si="90"/>
        <v>0</v>
      </c>
      <c r="AF131">
        <f t="shared" si="91"/>
        <v>0</v>
      </c>
      <c r="AG131">
        <f t="shared" si="92"/>
        <v>0</v>
      </c>
      <c r="AH131">
        <f t="shared" si="93"/>
        <v>0</v>
      </c>
      <c r="AI131">
        <f t="shared" si="94"/>
        <v>0</v>
      </c>
      <c r="AJ131">
        <f t="shared" si="95"/>
        <v>0</v>
      </c>
      <c r="AK131">
        <f t="shared" si="96"/>
        <v>0</v>
      </c>
      <c r="AL131">
        <f t="shared" ref="AL131:AL194" si="107">IF(ISBLANK(K131),0,IF(ISNUMBER(SEARCH("CI/CD",K131)),1,0))</f>
        <v>0</v>
      </c>
      <c r="AM131">
        <f t="shared" ref="AM131:AM194" si="108">IF(ISBLANK(L131),0,IF(ISNUMBER(SEARCH("Python",L131)),1,0))</f>
        <v>0</v>
      </c>
      <c r="AN131">
        <f t="shared" si="97"/>
        <v>0</v>
      </c>
      <c r="AO131">
        <f t="shared" si="98"/>
        <v>1</v>
      </c>
      <c r="AP131">
        <f t="shared" si="99"/>
        <v>0</v>
      </c>
      <c r="AQ131">
        <f t="shared" ref="AQ131:AQ194" si="109">IF(ISBLANK(L131),0,IF(ISNUMBER(SEARCH("ML",L131)),1,0))</f>
        <v>1</v>
      </c>
      <c r="AR131">
        <f t="shared" ref="AR131:AR194" si="110">IF(ISBLANK(L132),0,IF(ISNUMBER(SEARCH("ML",L132)),1,0))</f>
        <v>1</v>
      </c>
      <c r="AS131">
        <f t="shared" si="100"/>
        <v>0</v>
      </c>
      <c r="AT131">
        <f t="shared" si="101"/>
        <v>0</v>
      </c>
      <c r="AU131">
        <f t="shared" si="102"/>
        <v>0</v>
      </c>
      <c r="AV131">
        <f t="shared" si="103"/>
        <v>0</v>
      </c>
      <c r="AW131">
        <f t="shared" si="104"/>
        <v>0</v>
      </c>
      <c r="AX131">
        <f t="shared" si="105"/>
        <v>0</v>
      </c>
      <c r="AY131">
        <f t="shared" si="106"/>
        <v>0</v>
      </c>
      <c r="AZ131" t="s">
        <v>246</v>
      </c>
    </row>
    <row r="132" spans="1:52" ht="28.8">
      <c r="A132">
        <v>131</v>
      </c>
      <c r="B132" s="14">
        <v>46179</v>
      </c>
      <c r="C132" t="s">
        <v>18</v>
      </c>
      <c r="D132" t="s">
        <v>8</v>
      </c>
      <c r="E132" t="s">
        <v>410</v>
      </c>
      <c r="F132" t="s">
        <v>14</v>
      </c>
      <c r="G132">
        <v>0</v>
      </c>
      <c r="H132">
        <v>8</v>
      </c>
      <c r="I132" t="s">
        <v>248</v>
      </c>
      <c r="J132" t="s">
        <v>248</v>
      </c>
      <c r="K132" s="2" t="s">
        <v>409</v>
      </c>
      <c r="L132" t="s">
        <v>408</v>
      </c>
      <c r="M132" t="s">
        <v>11</v>
      </c>
      <c r="N132" t="s">
        <v>206</v>
      </c>
      <c r="O132">
        <f t="shared" si="74"/>
        <v>1</v>
      </c>
      <c r="P132">
        <f t="shared" si="75"/>
        <v>1</v>
      </c>
      <c r="Q132">
        <f t="shared" si="76"/>
        <v>0</v>
      </c>
      <c r="R132">
        <f t="shared" si="77"/>
        <v>0</v>
      </c>
      <c r="S132">
        <f t="shared" si="78"/>
        <v>0</v>
      </c>
      <c r="T132">
        <f t="shared" si="79"/>
        <v>0</v>
      </c>
      <c r="U132">
        <f t="shared" si="80"/>
        <v>1</v>
      </c>
      <c r="V132">
        <f t="shared" si="81"/>
        <v>0</v>
      </c>
      <c r="W132">
        <f t="shared" si="82"/>
        <v>0</v>
      </c>
      <c r="X132">
        <f t="shared" si="83"/>
        <v>0</v>
      </c>
      <c r="Y132">
        <f t="shared" si="84"/>
        <v>0</v>
      </c>
      <c r="Z132">
        <f t="shared" si="85"/>
        <v>0</v>
      </c>
      <c r="AA132">
        <f t="shared" si="86"/>
        <v>1</v>
      </c>
      <c r="AB132">
        <f t="shared" si="87"/>
        <v>0</v>
      </c>
      <c r="AC132">
        <f t="shared" si="88"/>
        <v>0</v>
      </c>
      <c r="AD132">
        <f t="shared" si="89"/>
        <v>1</v>
      </c>
      <c r="AE132">
        <f t="shared" si="90"/>
        <v>1</v>
      </c>
      <c r="AF132">
        <f t="shared" si="91"/>
        <v>0</v>
      </c>
      <c r="AG132">
        <f t="shared" si="92"/>
        <v>1</v>
      </c>
      <c r="AH132">
        <f t="shared" si="93"/>
        <v>0</v>
      </c>
      <c r="AI132">
        <f t="shared" si="94"/>
        <v>0</v>
      </c>
      <c r="AJ132">
        <f t="shared" si="95"/>
        <v>0</v>
      </c>
      <c r="AK132">
        <f t="shared" si="96"/>
        <v>0</v>
      </c>
      <c r="AL132">
        <f t="shared" si="107"/>
        <v>0</v>
      </c>
      <c r="AM132">
        <f t="shared" si="108"/>
        <v>0</v>
      </c>
      <c r="AN132">
        <f t="shared" si="97"/>
        <v>1</v>
      </c>
      <c r="AO132">
        <f t="shared" si="98"/>
        <v>0</v>
      </c>
      <c r="AP132">
        <f t="shared" si="99"/>
        <v>0</v>
      </c>
      <c r="AQ132">
        <f t="shared" si="109"/>
        <v>1</v>
      </c>
      <c r="AR132">
        <f t="shared" si="110"/>
        <v>0</v>
      </c>
      <c r="AS132">
        <f t="shared" si="100"/>
        <v>0</v>
      </c>
      <c r="AT132">
        <f t="shared" si="101"/>
        <v>0</v>
      </c>
      <c r="AU132">
        <f t="shared" si="102"/>
        <v>0</v>
      </c>
      <c r="AV132">
        <f t="shared" si="103"/>
        <v>0</v>
      </c>
      <c r="AW132">
        <f t="shared" si="104"/>
        <v>0</v>
      </c>
      <c r="AX132">
        <f t="shared" si="105"/>
        <v>0</v>
      </c>
      <c r="AY132">
        <f t="shared" si="106"/>
        <v>0</v>
      </c>
      <c r="AZ132" t="s">
        <v>246</v>
      </c>
    </row>
    <row r="133" spans="1:52">
      <c r="A133">
        <v>132</v>
      </c>
      <c r="B133" s="14">
        <v>46179</v>
      </c>
      <c r="C133" t="s">
        <v>18</v>
      </c>
      <c r="D133" t="s">
        <v>8</v>
      </c>
      <c r="E133" t="s">
        <v>407</v>
      </c>
      <c r="F133" t="s">
        <v>3</v>
      </c>
      <c r="G133">
        <v>0</v>
      </c>
      <c r="H133">
        <v>5</v>
      </c>
      <c r="I133" t="s">
        <v>248</v>
      </c>
      <c r="J133" t="s">
        <v>248</v>
      </c>
      <c r="K133" t="s">
        <v>406</v>
      </c>
      <c r="L133" t="s">
        <v>191</v>
      </c>
      <c r="M133" t="s">
        <v>11</v>
      </c>
      <c r="N133" t="s">
        <v>206</v>
      </c>
      <c r="O133">
        <f t="shared" si="74"/>
        <v>1</v>
      </c>
      <c r="P133">
        <f t="shared" si="75"/>
        <v>1</v>
      </c>
      <c r="Q133">
        <f t="shared" si="76"/>
        <v>1</v>
      </c>
      <c r="R133">
        <f t="shared" si="77"/>
        <v>0</v>
      </c>
      <c r="S133">
        <f t="shared" si="78"/>
        <v>0</v>
      </c>
      <c r="T133">
        <f t="shared" si="79"/>
        <v>0</v>
      </c>
      <c r="U133">
        <f t="shared" si="80"/>
        <v>0</v>
      </c>
      <c r="V133">
        <f t="shared" si="81"/>
        <v>0</v>
      </c>
      <c r="W133">
        <f t="shared" si="82"/>
        <v>0</v>
      </c>
      <c r="X133">
        <f t="shared" si="83"/>
        <v>0</v>
      </c>
      <c r="Y133">
        <f t="shared" si="84"/>
        <v>0</v>
      </c>
      <c r="Z133">
        <f t="shared" si="85"/>
        <v>0</v>
      </c>
      <c r="AA133">
        <f t="shared" si="86"/>
        <v>1</v>
      </c>
      <c r="AB133">
        <f t="shared" si="87"/>
        <v>0</v>
      </c>
      <c r="AC133">
        <f t="shared" si="88"/>
        <v>0</v>
      </c>
      <c r="AD133">
        <f t="shared" si="89"/>
        <v>1</v>
      </c>
      <c r="AE133">
        <f t="shared" si="90"/>
        <v>1</v>
      </c>
      <c r="AF133">
        <f t="shared" si="91"/>
        <v>0</v>
      </c>
      <c r="AG133">
        <f t="shared" si="92"/>
        <v>0</v>
      </c>
      <c r="AH133">
        <f t="shared" si="93"/>
        <v>0</v>
      </c>
      <c r="AI133">
        <f t="shared" si="94"/>
        <v>0</v>
      </c>
      <c r="AJ133">
        <f t="shared" si="95"/>
        <v>0</v>
      </c>
      <c r="AK133">
        <f t="shared" si="96"/>
        <v>0</v>
      </c>
      <c r="AL133">
        <f t="shared" si="107"/>
        <v>0</v>
      </c>
      <c r="AM133">
        <f t="shared" si="108"/>
        <v>0</v>
      </c>
      <c r="AN133">
        <f t="shared" si="97"/>
        <v>0</v>
      </c>
      <c r="AO133">
        <f t="shared" si="98"/>
        <v>0</v>
      </c>
      <c r="AP133">
        <f t="shared" si="99"/>
        <v>0</v>
      </c>
      <c r="AQ133">
        <f t="shared" si="109"/>
        <v>0</v>
      </c>
      <c r="AR133">
        <f t="shared" si="110"/>
        <v>0</v>
      </c>
      <c r="AS133">
        <f t="shared" si="100"/>
        <v>0</v>
      </c>
      <c r="AT133">
        <f t="shared" si="101"/>
        <v>0</v>
      </c>
      <c r="AU133">
        <f t="shared" si="102"/>
        <v>0</v>
      </c>
      <c r="AV133">
        <f t="shared" si="103"/>
        <v>0</v>
      </c>
      <c r="AW133">
        <f t="shared" si="104"/>
        <v>0</v>
      </c>
      <c r="AX133">
        <f t="shared" si="105"/>
        <v>0</v>
      </c>
      <c r="AY133">
        <f t="shared" si="106"/>
        <v>1</v>
      </c>
      <c r="AZ133" t="s">
        <v>246</v>
      </c>
    </row>
    <row r="134" spans="1:52">
      <c r="A134">
        <v>133</v>
      </c>
      <c r="B134" s="14">
        <v>46179</v>
      </c>
      <c r="C134" t="s">
        <v>18</v>
      </c>
      <c r="D134" t="s">
        <v>8</v>
      </c>
      <c r="E134" t="s">
        <v>405</v>
      </c>
      <c r="F134" t="s">
        <v>6</v>
      </c>
      <c r="G134">
        <v>0</v>
      </c>
      <c r="H134">
        <v>2</v>
      </c>
      <c r="I134" t="s">
        <v>248</v>
      </c>
      <c r="J134" t="s">
        <v>248</v>
      </c>
      <c r="K134" t="s">
        <v>404</v>
      </c>
      <c r="L134" t="s">
        <v>191</v>
      </c>
      <c r="M134" t="s">
        <v>11</v>
      </c>
      <c r="N134" t="s">
        <v>190</v>
      </c>
      <c r="O134">
        <f t="shared" si="74"/>
        <v>1</v>
      </c>
      <c r="P134">
        <f t="shared" si="75"/>
        <v>1</v>
      </c>
      <c r="Q134">
        <f t="shared" si="76"/>
        <v>0</v>
      </c>
      <c r="R134">
        <f t="shared" si="77"/>
        <v>0</v>
      </c>
      <c r="S134">
        <f t="shared" si="78"/>
        <v>0</v>
      </c>
      <c r="T134">
        <f t="shared" si="79"/>
        <v>0</v>
      </c>
      <c r="U134">
        <f t="shared" si="80"/>
        <v>1</v>
      </c>
      <c r="V134">
        <f t="shared" si="81"/>
        <v>1</v>
      </c>
      <c r="W134">
        <f t="shared" si="82"/>
        <v>0</v>
      </c>
      <c r="X134">
        <f t="shared" si="83"/>
        <v>0</v>
      </c>
      <c r="Y134">
        <f t="shared" si="84"/>
        <v>0</v>
      </c>
      <c r="Z134">
        <f t="shared" si="85"/>
        <v>0</v>
      </c>
      <c r="AA134">
        <f t="shared" si="86"/>
        <v>0</v>
      </c>
      <c r="AB134">
        <f t="shared" si="87"/>
        <v>0</v>
      </c>
      <c r="AC134">
        <f t="shared" si="88"/>
        <v>0</v>
      </c>
      <c r="AD134">
        <f t="shared" si="89"/>
        <v>1</v>
      </c>
      <c r="AE134">
        <f t="shared" si="90"/>
        <v>0</v>
      </c>
      <c r="AF134">
        <f t="shared" si="91"/>
        <v>0</v>
      </c>
      <c r="AG134">
        <f t="shared" si="92"/>
        <v>0</v>
      </c>
      <c r="AH134">
        <f t="shared" si="93"/>
        <v>0</v>
      </c>
      <c r="AI134">
        <f t="shared" si="94"/>
        <v>0</v>
      </c>
      <c r="AJ134">
        <f t="shared" si="95"/>
        <v>0</v>
      </c>
      <c r="AK134">
        <f t="shared" si="96"/>
        <v>0</v>
      </c>
      <c r="AL134">
        <f t="shared" si="107"/>
        <v>0</v>
      </c>
      <c r="AM134">
        <f t="shared" si="108"/>
        <v>0</v>
      </c>
      <c r="AN134">
        <f t="shared" si="97"/>
        <v>0</v>
      </c>
      <c r="AO134">
        <f t="shared" si="98"/>
        <v>0</v>
      </c>
      <c r="AP134">
        <f t="shared" si="99"/>
        <v>0</v>
      </c>
      <c r="AQ134">
        <f t="shared" si="109"/>
        <v>0</v>
      </c>
      <c r="AR134">
        <f t="shared" si="110"/>
        <v>0</v>
      </c>
      <c r="AS134">
        <f t="shared" si="100"/>
        <v>0</v>
      </c>
      <c r="AT134">
        <f t="shared" si="101"/>
        <v>0</v>
      </c>
      <c r="AU134">
        <f t="shared" si="102"/>
        <v>0</v>
      </c>
      <c r="AV134">
        <f t="shared" si="103"/>
        <v>0</v>
      </c>
      <c r="AW134">
        <f t="shared" si="104"/>
        <v>0</v>
      </c>
      <c r="AX134">
        <f t="shared" si="105"/>
        <v>0</v>
      </c>
      <c r="AY134">
        <f t="shared" si="106"/>
        <v>0</v>
      </c>
      <c r="AZ134" t="s">
        <v>246</v>
      </c>
    </row>
    <row r="135" spans="1:52">
      <c r="A135">
        <v>134</v>
      </c>
      <c r="B135" s="14">
        <v>46179</v>
      </c>
      <c r="C135" t="s">
        <v>18</v>
      </c>
      <c r="D135" t="s">
        <v>8</v>
      </c>
      <c r="E135" t="s">
        <v>403</v>
      </c>
      <c r="F135" t="s">
        <v>13</v>
      </c>
      <c r="G135">
        <v>0</v>
      </c>
      <c r="H135">
        <v>2</v>
      </c>
      <c r="I135" t="s">
        <v>248</v>
      </c>
      <c r="J135" t="s">
        <v>248</v>
      </c>
      <c r="K135" t="s">
        <v>402</v>
      </c>
      <c r="L135" t="s">
        <v>401</v>
      </c>
      <c r="M135" t="s">
        <v>11</v>
      </c>
      <c r="N135" t="s">
        <v>190</v>
      </c>
      <c r="O135">
        <f t="shared" si="74"/>
        <v>0</v>
      </c>
      <c r="P135">
        <f t="shared" si="75"/>
        <v>1</v>
      </c>
      <c r="Q135">
        <f t="shared" si="76"/>
        <v>0</v>
      </c>
      <c r="R135">
        <f t="shared" si="77"/>
        <v>0</v>
      </c>
      <c r="S135">
        <f t="shared" si="78"/>
        <v>0</v>
      </c>
      <c r="T135">
        <f t="shared" si="79"/>
        <v>0</v>
      </c>
      <c r="U135">
        <f t="shared" si="80"/>
        <v>0</v>
      </c>
      <c r="V135">
        <f t="shared" si="81"/>
        <v>0</v>
      </c>
      <c r="W135">
        <f t="shared" si="82"/>
        <v>0</v>
      </c>
      <c r="X135">
        <f t="shared" si="83"/>
        <v>0</v>
      </c>
      <c r="Y135">
        <f t="shared" si="84"/>
        <v>0</v>
      </c>
      <c r="Z135">
        <f t="shared" si="85"/>
        <v>0</v>
      </c>
      <c r="AA135">
        <f t="shared" si="86"/>
        <v>0</v>
      </c>
      <c r="AB135">
        <f t="shared" si="87"/>
        <v>0</v>
      </c>
      <c r="AC135">
        <f t="shared" si="88"/>
        <v>0</v>
      </c>
      <c r="AD135">
        <f t="shared" si="89"/>
        <v>1</v>
      </c>
      <c r="AE135">
        <f t="shared" si="90"/>
        <v>0</v>
      </c>
      <c r="AF135">
        <f t="shared" si="91"/>
        <v>0</v>
      </c>
      <c r="AG135">
        <f t="shared" si="92"/>
        <v>0</v>
      </c>
      <c r="AH135">
        <f t="shared" si="93"/>
        <v>0</v>
      </c>
      <c r="AI135">
        <f t="shared" si="94"/>
        <v>0</v>
      </c>
      <c r="AJ135">
        <f t="shared" si="95"/>
        <v>0</v>
      </c>
      <c r="AK135">
        <f t="shared" si="96"/>
        <v>0</v>
      </c>
      <c r="AL135">
        <f t="shared" si="107"/>
        <v>1</v>
      </c>
      <c r="AM135">
        <f t="shared" si="108"/>
        <v>0</v>
      </c>
      <c r="AN135">
        <f t="shared" si="97"/>
        <v>0</v>
      </c>
      <c r="AO135">
        <f t="shared" si="98"/>
        <v>0</v>
      </c>
      <c r="AP135">
        <f t="shared" si="99"/>
        <v>0</v>
      </c>
      <c r="AQ135">
        <f t="shared" si="109"/>
        <v>0</v>
      </c>
      <c r="AR135">
        <f t="shared" si="110"/>
        <v>0</v>
      </c>
      <c r="AS135">
        <f t="shared" si="100"/>
        <v>0</v>
      </c>
      <c r="AT135">
        <f t="shared" si="101"/>
        <v>0</v>
      </c>
      <c r="AU135">
        <f t="shared" si="102"/>
        <v>0</v>
      </c>
      <c r="AV135">
        <f t="shared" si="103"/>
        <v>0</v>
      </c>
      <c r="AW135">
        <f t="shared" si="104"/>
        <v>0</v>
      </c>
      <c r="AX135">
        <f t="shared" si="105"/>
        <v>0</v>
      </c>
      <c r="AY135">
        <f t="shared" si="106"/>
        <v>0</v>
      </c>
      <c r="AZ135" t="s">
        <v>246</v>
      </c>
    </row>
    <row r="136" spans="1:52" ht="28.8">
      <c r="A136">
        <v>135</v>
      </c>
      <c r="B136" s="14">
        <v>46179</v>
      </c>
      <c r="C136" t="s">
        <v>18</v>
      </c>
      <c r="D136" t="s">
        <v>8</v>
      </c>
      <c r="E136" s="2" t="s">
        <v>400</v>
      </c>
      <c r="F136" t="s">
        <v>13</v>
      </c>
      <c r="G136">
        <v>0</v>
      </c>
      <c r="H136">
        <v>2</v>
      </c>
      <c r="I136" t="s">
        <v>248</v>
      </c>
      <c r="J136" t="s">
        <v>248</v>
      </c>
      <c r="K136" t="s">
        <v>399</v>
      </c>
      <c r="L136" t="s">
        <v>191</v>
      </c>
      <c r="M136" t="s">
        <v>11</v>
      </c>
      <c r="N136" t="s">
        <v>190</v>
      </c>
      <c r="O136">
        <f t="shared" si="74"/>
        <v>1</v>
      </c>
      <c r="P136">
        <f t="shared" si="75"/>
        <v>1</v>
      </c>
      <c r="Q136">
        <f t="shared" si="76"/>
        <v>0</v>
      </c>
      <c r="R136">
        <f t="shared" si="77"/>
        <v>0</v>
      </c>
      <c r="S136">
        <f t="shared" si="78"/>
        <v>0</v>
      </c>
      <c r="T136">
        <f t="shared" si="79"/>
        <v>0</v>
      </c>
      <c r="U136">
        <f t="shared" si="80"/>
        <v>0</v>
      </c>
      <c r="V136">
        <f t="shared" si="81"/>
        <v>0</v>
      </c>
      <c r="W136">
        <f t="shared" si="82"/>
        <v>0</v>
      </c>
      <c r="X136">
        <f t="shared" si="83"/>
        <v>0</v>
      </c>
      <c r="Y136">
        <f t="shared" si="84"/>
        <v>0</v>
      </c>
      <c r="Z136">
        <f t="shared" si="85"/>
        <v>0</v>
      </c>
      <c r="AA136">
        <f t="shared" si="86"/>
        <v>1</v>
      </c>
      <c r="AB136">
        <f t="shared" si="87"/>
        <v>0</v>
      </c>
      <c r="AC136">
        <f t="shared" si="88"/>
        <v>0</v>
      </c>
      <c r="AD136">
        <f t="shared" si="89"/>
        <v>0</v>
      </c>
      <c r="AE136">
        <f t="shared" si="90"/>
        <v>0</v>
      </c>
      <c r="AF136">
        <f t="shared" si="91"/>
        <v>0</v>
      </c>
      <c r="AG136">
        <f t="shared" si="92"/>
        <v>0</v>
      </c>
      <c r="AH136">
        <f t="shared" si="93"/>
        <v>0</v>
      </c>
      <c r="AI136">
        <f t="shared" si="94"/>
        <v>0</v>
      </c>
      <c r="AJ136">
        <f t="shared" si="95"/>
        <v>0</v>
      </c>
      <c r="AK136">
        <f t="shared" si="96"/>
        <v>0</v>
      </c>
      <c r="AL136">
        <f t="shared" si="107"/>
        <v>0</v>
      </c>
      <c r="AM136">
        <f t="shared" si="108"/>
        <v>0</v>
      </c>
      <c r="AN136">
        <f t="shared" si="97"/>
        <v>0</v>
      </c>
      <c r="AO136">
        <f t="shared" si="98"/>
        <v>0</v>
      </c>
      <c r="AP136">
        <f t="shared" si="99"/>
        <v>0</v>
      </c>
      <c r="AQ136">
        <f t="shared" si="109"/>
        <v>0</v>
      </c>
      <c r="AR136">
        <f t="shared" si="110"/>
        <v>0</v>
      </c>
      <c r="AS136">
        <f t="shared" si="100"/>
        <v>0</v>
      </c>
      <c r="AT136">
        <f t="shared" si="101"/>
        <v>0</v>
      </c>
      <c r="AU136">
        <f t="shared" si="102"/>
        <v>0</v>
      </c>
      <c r="AV136">
        <f t="shared" si="103"/>
        <v>0</v>
      </c>
      <c r="AW136">
        <f t="shared" si="104"/>
        <v>0</v>
      </c>
      <c r="AX136">
        <f t="shared" si="105"/>
        <v>0</v>
      </c>
      <c r="AY136">
        <f t="shared" si="106"/>
        <v>0</v>
      </c>
      <c r="AZ136" t="s">
        <v>246</v>
      </c>
    </row>
    <row r="137" spans="1:52">
      <c r="A137">
        <v>136</v>
      </c>
      <c r="B137" s="14">
        <v>46179</v>
      </c>
      <c r="C137" t="s">
        <v>18</v>
      </c>
      <c r="D137" t="s">
        <v>8</v>
      </c>
      <c r="E137" t="s">
        <v>398</v>
      </c>
      <c r="F137" t="s">
        <v>3</v>
      </c>
      <c r="G137">
        <v>0</v>
      </c>
      <c r="H137">
        <v>5</v>
      </c>
      <c r="I137" t="s">
        <v>248</v>
      </c>
      <c r="J137" t="s">
        <v>248</v>
      </c>
      <c r="K137" t="s">
        <v>397</v>
      </c>
      <c r="L137" t="s">
        <v>191</v>
      </c>
      <c r="M137" t="s">
        <v>11</v>
      </c>
      <c r="N137" t="s">
        <v>198</v>
      </c>
      <c r="O137">
        <f t="shared" si="74"/>
        <v>1</v>
      </c>
      <c r="P137">
        <f t="shared" si="75"/>
        <v>1</v>
      </c>
      <c r="Q137">
        <f t="shared" si="76"/>
        <v>0</v>
      </c>
      <c r="R137">
        <f t="shared" si="77"/>
        <v>0</v>
      </c>
      <c r="S137">
        <f t="shared" si="78"/>
        <v>0</v>
      </c>
      <c r="T137">
        <f t="shared" si="79"/>
        <v>0</v>
      </c>
      <c r="U137">
        <f t="shared" si="80"/>
        <v>1</v>
      </c>
      <c r="V137">
        <f t="shared" si="81"/>
        <v>0</v>
      </c>
      <c r="W137">
        <f t="shared" si="82"/>
        <v>0</v>
      </c>
      <c r="X137">
        <f t="shared" si="83"/>
        <v>0</v>
      </c>
      <c r="Y137">
        <f t="shared" si="84"/>
        <v>0</v>
      </c>
      <c r="Z137">
        <f t="shared" si="85"/>
        <v>0</v>
      </c>
      <c r="AA137">
        <f t="shared" si="86"/>
        <v>0</v>
      </c>
      <c r="AB137">
        <f t="shared" si="87"/>
        <v>0</v>
      </c>
      <c r="AC137">
        <f t="shared" si="88"/>
        <v>0</v>
      </c>
      <c r="AD137">
        <f t="shared" si="89"/>
        <v>1</v>
      </c>
      <c r="AE137">
        <f t="shared" si="90"/>
        <v>0</v>
      </c>
      <c r="AF137">
        <f t="shared" si="91"/>
        <v>0</v>
      </c>
      <c r="AG137">
        <f t="shared" si="92"/>
        <v>0</v>
      </c>
      <c r="AH137">
        <f t="shared" si="93"/>
        <v>0</v>
      </c>
      <c r="AI137">
        <f t="shared" si="94"/>
        <v>0</v>
      </c>
      <c r="AJ137">
        <f t="shared" si="95"/>
        <v>0</v>
      </c>
      <c r="AK137">
        <f t="shared" si="96"/>
        <v>0</v>
      </c>
      <c r="AL137">
        <f t="shared" si="107"/>
        <v>0</v>
      </c>
      <c r="AM137">
        <f t="shared" si="108"/>
        <v>0</v>
      </c>
      <c r="AN137">
        <f t="shared" si="97"/>
        <v>0</v>
      </c>
      <c r="AO137">
        <f t="shared" si="98"/>
        <v>0</v>
      </c>
      <c r="AP137">
        <f t="shared" si="99"/>
        <v>0</v>
      </c>
      <c r="AQ137">
        <f t="shared" si="109"/>
        <v>0</v>
      </c>
      <c r="AR137">
        <f t="shared" si="110"/>
        <v>0</v>
      </c>
      <c r="AS137">
        <f t="shared" si="100"/>
        <v>0</v>
      </c>
      <c r="AT137">
        <f t="shared" si="101"/>
        <v>0</v>
      </c>
      <c r="AU137">
        <f t="shared" si="102"/>
        <v>0</v>
      </c>
      <c r="AV137">
        <f t="shared" si="103"/>
        <v>0</v>
      </c>
      <c r="AW137">
        <f t="shared" si="104"/>
        <v>0</v>
      </c>
      <c r="AX137">
        <f t="shared" si="105"/>
        <v>0</v>
      </c>
      <c r="AY137">
        <f t="shared" si="106"/>
        <v>0</v>
      </c>
      <c r="AZ137" t="s">
        <v>246</v>
      </c>
    </row>
    <row r="138" spans="1:52">
      <c r="A138">
        <v>137</v>
      </c>
      <c r="B138" s="14">
        <v>46179</v>
      </c>
      <c r="C138" t="s">
        <v>18</v>
      </c>
      <c r="D138" t="s">
        <v>9</v>
      </c>
      <c r="E138" t="s">
        <v>396</v>
      </c>
      <c r="F138" t="s">
        <v>14</v>
      </c>
      <c r="G138">
        <v>0</v>
      </c>
      <c r="H138">
        <v>5</v>
      </c>
      <c r="I138" t="s">
        <v>248</v>
      </c>
      <c r="J138" t="s">
        <v>248</v>
      </c>
      <c r="K138" t="s">
        <v>395</v>
      </c>
      <c r="L138" t="s">
        <v>191</v>
      </c>
      <c r="M138" t="s">
        <v>11</v>
      </c>
      <c r="N138" t="s">
        <v>190</v>
      </c>
      <c r="O138">
        <f t="shared" si="74"/>
        <v>1</v>
      </c>
      <c r="P138">
        <f t="shared" si="75"/>
        <v>0</v>
      </c>
      <c r="Q138">
        <f t="shared" si="76"/>
        <v>0</v>
      </c>
      <c r="R138">
        <f t="shared" si="77"/>
        <v>1</v>
      </c>
      <c r="S138">
        <f t="shared" si="78"/>
        <v>0</v>
      </c>
      <c r="T138">
        <f t="shared" si="79"/>
        <v>0</v>
      </c>
      <c r="U138">
        <f t="shared" si="80"/>
        <v>0</v>
      </c>
      <c r="V138">
        <f t="shared" si="81"/>
        <v>0</v>
      </c>
      <c r="W138">
        <f t="shared" si="82"/>
        <v>0</v>
      </c>
      <c r="X138">
        <f t="shared" si="83"/>
        <v>0</v>
      </c>
      <c r="Y138">
        <f t="shared" si="84"/>
        <v>0</v>
      </c>
      <c r="Z138">
        <f t="shared" si="85"/>
        <v>0</v>
      </c>
      <c r="AA138">
        <f t="shared" si="86"/>
        <v>0</v>
      </c>
      <c r="AB138">
        <f t="shared" si="87"/>
        <v>0</v>
      </c>
      <c r="AC138">
        <f t="shared" si="88"/>
        <v>0</v>
      </c>
      <c r="AD138">
        <f t="shared" si="89"/>
        <v>0</v>
      </c>
      <c r="AE138">
        <f t="shared" si="90"/>
        <v>0</v>
      </c>
      <c r="AF138">
        <f t="shared" si="91"/>
        <v>0</v>
      </c>
      <c r="AG138">
        <f t="shared" si="92"/>
        <v>1</v>
      </c>
      <c r="AH138">
        <f t="shared" si="93"/>
        <v>0</v>
      </c>
      <c r="AI138">
        <f t="shared" si="94"/>
        <v>0</v>
      </c>
      <c r="AJ138">
        <f t="shared" si="95"/>
        <v>0</v>
      </c>
      <c r="AK138">
        <f t="shared" si="96"/>
        <v>0</v>
      </c>
      <c r="AL138">
        <f t="shared" si="107"/>
        <v>0</v>
      </c>
      <c r="AM138">
        <f t="shared" si="108"/>
        <v>0</v>
      </c>
      <c r="AN138">
        <f t="shared" si="97"/>
        <v>0</v>
      </c>
      <c r="AO138">
        <f t="shared" si="98"/>
        <v>0</v>
      </c>
      <c r="AP138">
        <f t="shared" si="99"/>
        <v>0</v>
      </c>
      <c r="AQ138">
        <f t="shared" si="109"/>
        <v>0</v>
      </c>
      <c r="AR138">
        <f t="shared" si="110"/>
        <v>0</v>
      </c>
      <c r="AS138">
        <f t="shared" si="100"/>
        <v>0</v>
      </c>
      <c r="AT138">
        <f t="shared" si="101"/>
        <v>0</v>
      </c>
      <c r="AU138">
        <f t="shared" si="102"/>
        <v>0</v>
      </c>
      <c r="AV138">
        <f t="shared" si="103"/>
        <v>0</v>
      </c>
      <c r="AW138">
        <f t="shared" si="104"/>
        <v>0</v>
      </c>
      <c r="AX138">
        <f t="shared" si="105"/>
        <v>0</v>
      </c>
      <c r="AY138">
        <f t="shared" si="106"/>
        <v>0</v>
      </c>
      <c r="AZ138" t="s">
        <v>246</v>
      </c>
    </row>
    <row r="139" spans="1:52">
      <c r="A139">
        <v>138</v>
      </c>
      <c r="B139" s="14">
        <v>46179</v>
      </c>
      <c r="C139" t="s">
        <v>18</v>
      </c>
      <c r="D139" t="s">
        <v>2</v>
      </c>
      <c r="E139" t="s">
        <v>394</v>
      </c>
      <c r="F139" t="s">
        <v>14</v>
      </c>
      <c r="G139">
        <v>0</v>
      </c>
      <c r="H139">
        <v>2</v>
      </c>
      <c r="I139" t="s">
        <v>248</v>
      </c>
      <c r="J139" t="s">
        <v>248</v>
      </c>
      <c r="K139" t="s">
        <v>393</v>
      </c>
      <c r="L139" t="s">
        <v>191</v>
      </c>
      <c r="M139" t="s">
        <v>11</v>
      </c>
      <c r="N139" t="s">
        <v>190</v>
      </c>
      <c r="O139">
        <f t="shared" si="74"/>
        <v>1</v>
      </c>
      <c r="P139">
        <f t="shared" si="75"/>
        <v>1</v>
      </c>
      <c r="Q139">
        <f t="shared" si="76"/>
        <v>1</v>
      </c>
      <c r="R139">
        <f t="shared" si="77"/>
        <v>1</v>
      </c>
      <c r="S139">
        <f t="shared" si="78"/>
        <v>0</v>
      </c>
      <c r="T139">
        <f t="shared" si="79"/>
        <v>0</v>
      </c>
      <c r="U139">
        <f t="shared" si="80"/>
        <v>1</v>
      </c>
      <c r="V139">
        <f t="shared" si="81"/>
        <v>1</v>
      </c>
      <c r="W139">
        <f t="shared" si="82"/>
        <v>1</v>
      </c>
      <c r="X139">
        <f t="shared" si="83"/>
        <v>0</v>
      </c>
      <c r="Y139">
        <f t="shared" si="84"/>
        <v>0</v>
      </c>
      <c r="Z139">
        <f t="shared" si="85"/>
        <v>0</v>
      </c>
      <c r="AA139">
        <f t="shared" si="86"/>
        <v>1</v>
      </c>
      <c r="AB139">
        <f t="shared" si="87"/>
        <v>0</v>
      </c>
      <c r="AC139">
        <f t="shared" si="88"/>
        <v>0</v>
      </c>
      <c r="AD139">
        <f t="shared" si="89"/>
        <v>1</v>
      </c>
      <c r="AE139">
        <f t="shared" si="90"/>
        <v>0</v>
      </c>
      <c r="AF139">
        <f t="shared" si="91"/>
        <v>0</v>
      </c>
      <c r="AG139">
        <f t="shared" si="92"/>
        <v>0</v>
      </c>
      <c r="AH139">
        <f t="shared" si="93"/>
        <v>0</v>
      </c>
      <c r="AI139">
        <f t="shared" si="94"/>
        <v>0</v>
      </c>
      <c r="AJ139">
        <f t="shared" si="95"/>
        <v>0</v>
      </c>
      <c r="AK139">
        <f t="shared" si="96"/>
        <v>0</v>
      </c>
      <c r="AL139">
        <f t="shared" si="107"/>
        <v>0</v>
      </c>
      <c r="AM139">
        <f t="shared" si="108"/>
        <v>0</v>
      </c>
      <c r="AN139">
        <f t="shared" si="97"/>
        <v>0</v>
      </c>
      <c r="AO139">
        <f t="shared" si="98"/>
        <v>0</v>
      </c>
      <c r="AP139">
        <f t="shared" si="99"/>
        <v>0</v>
      </c>
      <c r="AQ139">
        <f t="shared" si="109"/>
        <v>0</v>
      </c>
      <c r="AR139">
        <f t="shared" si="110"/>
        <v>0</v>
      </c>
      <c r="AS139">
        <f t="shared" si="100"/>
        <v>0</v>
      </c>
      <c r="AT139">
        <f t="shared" si="101"/>
        <v>0</v>
      </c>
      <c r="AU139">
        <f t="shared" si="102"/>
        <v>0</v>
      </c>
      <c r="AV139">
        <f t="shared" si="103"/>
        <v>0</v>
      </c>
      <c r="AW139">
        <f t="shared" si="104"/>
        <v>0</v>
      </c>
      <c r="AX139">
        <f t="shared" si="105"/>
        <v>0</v>
      </c>
      <c r="AY139">
        <f t="shared" si="106"/>
        <v>0</v>
      </c>
      <c r="AZ139" t="s">
        <v>246</v>
      </c>
    </row>
    <row r="140" spans="1:52">
      <c r="A140">
        <v>139</v>
      </c>
      <c r="B140" s="14">
        <v>46179</v>
      </c>
      <c r="C140" t="s">
        <v>18</v>
      </c>
      <c r="D140" t="s">
        <v>9</v>
      </c>
      <c r="E140" t="s">
        <v>392</v>
      </c>
      <c r="F140" t="s">
        <v>3</v>
      </c>
      <c r="G140">
        <v>0</v>
      </c>
      <c r="H140">
        <v>5</v>
      </c>
      <c r="I140" t="s">
        <v>248</v>
      </c>
      <c r="J140" t="s">
        <v>248</v>
      </c>
      <c r="K140" t="s">
        <v>391</v>
      </c>
      <c r="L140" t="s">
        <v>191</v>
      </c>
      <c r="M140" t="s">
        <v>11</v>
      </c>
      <c r="N140" t="s">
        <v>190</v>
      </c>
      <c r="O140">
        <f t="shared" si="74"/>
        <v>1</v>
      </c>
      <c r="P140">
        <f t="shared" si="75"/>
        <v>0</v>
      </c>
      <c r="Q140">
        <f t="shared" si="76"/>
        <v>1</v>
      </c>
      <c r="R140">
        <f t="shared" si="77"/>
        <v>1</v>
      </c>
      <c r="S140">
        <f t="shared" si="78"/>
        <v>0</v>
      </c>
      <c r="T140">
        <f t="shared" si="79"/>
        <v>0</v>
      </c>
      <c r="U140">
        <f t="shared" si="80"/>
        <v>0</v>
      </c>
      <c r="V140">
        <f t="shared" si="81"/>
        <v>0</v>
      </c>
      <c r="W140">
        <f t="shared" si="82"/>
        <v>0</v>
      </c>
      <c r="X140">
        <f t="shared" si="83"/>
        <v>0</v>
      </c>
      <c r="Y140">
        <f t="shared" si="84"/>
        <v>0</v>
      </c>
      <c r="Z140">
        <f t="shared" si="85"/>
        <v>0</v>
      </c>
      <c r="AA140">
        <f t="shared" si="86"/>
        <v>0</v>
      </c>
      <c r="AB140">
        <f t="shared" si="87"/>
        <v>0</v>
      </c>
      <c r="AC140">
        <f t="shared" si="88"/>
        <v>1</v>
      </c>
      <c r="AD140">
        <f t="shared" si="89"/>
        <v>0</v>
      </c>
      <c r="AE140">
        <f t="shared" si="90"/>
        <v>0</v>
      </c>
      <c r="AF140">
        <f t="shared" si="91"/>
        <v>0</v>
      </c>
      <c r="AG140">
        <f t="shared" si="92"/>
        <v>0</v>
      </c>
      <c r="AH140">
        <f t="shared" si="93"/>
        <v>0</v>
      </c>
      <c r="AI140">
        <f t="shared" si="94"/>
        <v>0</v>
      </c>
      <c r="AJ140">
        <f t="shared" si="95"/>
        <v>0</v>
      </c>
      <c r="AK140">
        <f t="shared" si="96"/>
        <v>0</v>
      </c>
      <c r="AL140">
        <f t="shared" si="107"/>
        <v>0</v>
      </c>
      <c r="AM140">
        <f t="shared" si="108"/>
        <v>0</v>
      </c>
      <c r="AN140">
        <f t="shared" si="97"/>
        <v>0</v>
      </c>
      <c r="AO140">
        <f t="shared" si="98"/>
        <v>0</v>
      </c>
      <c r="AP140">
        <f t="shared" si="99"/>
        <v>0</v>
      </c>
      <c r="AQ140">
        <f t="shared" si="109"/>
        <v>0</v>
      </c>
      <c r="AR140">
        <f t="shared" si="110"/>
        <v>0</v>
      </c>
      <c r="AS140">
        <f t="shared" si="100"/>
        <v>0</v>
      </c>
      <c r="AT140">
        <f t="shared" si="101"/>
        <v>0</v>
      </c>
      <c r="AU140">
        <f t="shared" si="102"/>
        <v>0</v>
      </c>
      <c r="AV140">
        <f t="shared" si="103"/>
        <v>0</v>
      </c>
      <c r="AW140">
        <f t="shared" si="104"/>
        <v>0</v>
      </c>
      <c r="AX140">
        <f t="shared" si="105"/>
        <v>0</v>
      </c>
      <c r="AY140">
        <f t="shared" si="106"/>
        <v>0</v>
      </c>
      <c r="AZ140" t="s">
        <v>246</v>
      </c>
    </row>
    <row r="141" spans="1:52">
      <c r="A141">
        <v>140</v>
      </c>
      <c r="B141" s="14">
        <v>46180</v>
      </c>
      <c r="C141" t="s">
        <v>22</v>
      </c>
      <c r="D141" t="s">
        <v>8</v>
      </c>
      <c r="E141" t="s">
        <v>390</v>
      </c>
      <c r="F141" t="s">
        <v>12</v>
      </c>
      <c r="G141">
        <v>0</v>
      </c>
      <c r="H141">
        <v>2</v>
      </c>
      <c r="I141" t="s">
        <v>248</v>
      </c>
      <c r="J141" t="s">
        <v>248</v>
      </c>
      <c r="K141" t="s">
        <v>389</v>
      </c>
      <c r="L141" t="s">
        <v>388</v>
      </c>
      <c r="M141" t="s">
        <v>11</v>
      </c>
      <c r="N141" t="s">
        <v>190</v>
      </c>
      <c r="O141">
        <f t="shared" si="74"/>
        <v>0</v>
      </c>
      <c r="P141">
        <f t="shared" si="75"/>
        <v>1</v>
      </c>
      <c r="Q141">
        <f t="shared" si="76"/>
        <v>0</v>
      </c>
      <c r="R141">
        <f t="shared" si="77"/>
        <v>0</v>
      </c>
      <c r="S141">
        <f t="shared" si="78"/>
        <v>0</v>
      </c>
      <c r="T141">
        <f t="shared" si="79"/>
        <v>0</v>
      </c>
      <c r="U141">
        <f t="shared" si="80"/>
        <v>1</v>
      </c>
      <c r="V141">
        <f t="shared" si="81"/>
        <v>0</v>
      </c>
      <c r="W141">
        <f t="shared" si="82"/>
        <v>0</v>
      </c>
      <c r="X141">
        <f t="shared" si="83"/>
        <v>0</v>
      </c>
      <c r="Y141">
        <f t="shared" si="84"/>
        <v>0</v>
      </c>
      <c r="Z141">
        <f t="shared" si="85"/>
        <v>0</v>
      </c>
      <c r="AA141">
        <f t="shared" si="86"/>
        <v>0</v>
      </c>
      <c r="AB141">
        <f t="shared" si="87"/>
        <v>0</v>
      </c>
      <c r="AC141">
        <f t="shared" si="88"/>
        <v>0</v>
      </c>
      <c r="AD141">
        <f t="shared" si="89"/>
        <v>0</v>
      </c>
      <c r="AE141">
        <f t="shared" si="90"/>
        <v>0</v>
      </c>
      <c r="AF141">
        <f t="shared" si="91"/>
        <v>0</v>
      </c>
      <c r="AG141">
        <f t="shared" si="92"/>
        <v>0</v>
      </c>
      <c r="AH141">
        <f t="shared" si="93"/>
        <v>0</v>
      </c>
      <c r="AI141">
        <f t="shared" si="94"/>
        <v>0</v>
      </c>
      <c r="AJ141">
        <f t="shared" si="95"/>
        <v>1</v>
      </c>
      <c r="AK141">
        <f t="shared" si="96"/>
        <v>0</v>
      </c>
      <c r="AL141">
        <f t="shared" si="107"/>
        <v>1</v>
      </c>
      <c r="AM141">
        <f t="shared" si="108"/>
        <v>0</v>
      </c>
      <c r="AN141">
        <f t="shared" si="97"/>
        <v>0</v>
      </c>
      <c r="AO141">
        <f t="shared" si="98"/>
        <v>0</v>
      </c>
      <c r="AP141">
        <f t="shared" si="99"/>
        <v>1</v>
      </c>
      <c r="AQ141">
        <f t="shared" si="109"/>
        <v>0</v>
      </c>
      <c r="AR141">
        <f t="shared" si="110"/>
        <v>0</v>
      </c>
      <c r="AS141">
        <f t="shared" si="100"/>
        <v>0</v>
      </c>
      <c r="AT141">
        <f t="shared" si="101"/>
        <v>0</v>
      </c>
      <c r="AU141">
        <f t="shared" si="102"/>
        <v>0</v>
      </c>
      <c r="AV141">
        <f t="shared" si="103"/>
        <v>0</v>
      </c>
      <c r="AW141">
        <f t="shared" si="104"/>
        <v>0</v>
      </c>
      <c r="AX141">
        <f t="shared" si="105"/>
        <v>0</v>
      </c>
      <c r="AY141">
        <f t="shared" si="106"/>
        <v>0</v>
      </c>
      <c r="AZ141" t="s">
        <v>246</v>
      </c>
    </row>
    <row r="142" spans="1:52">
      <c r="A142">
        <v>141</v>
      </c>
      <c r="B142" s="14">
        <v>46180</v>
      </c>
      <c r="C142" t="s">
        <v>22</v>
      </c>
      <c r="D142" t="s">
        <v>4</v>
      </c>
      <c r="E142" t="s">
        <v>387</v>
      </c>
      <c r="F142" t="s">
        <v>3</v>
      </c>
      <c r="G142">
        <v>3</v>
      </c>
      <c r="H142">
        <v>7</v>
      </c>
      <c r="I142" t="s">
        <v>248</v>
      </c>
      <c r="J142" t="s">
        <v>248</v>
      </c>
      <c r="K142" t="s">
        <v>386</v>
      </c>
      <c r="L142" t="s">
        <v>191</v>
      </c>
      <c r="M142" t="s">
        <v>11</v>
      </c>
      <c r="N142" t="s">
        <v>198</v>
      </c>
      <c r="O142">
        <f t="shared" si="74"/>
        <v>1</v>
      </c>
      <c r="P142">
        <f t="shared" si="75"/>
        <v>0</v>
      </c>
      <c r="Q142">
        <f t="shared" si="76"/>
        <v>0</v>
      </c>
      <c r="R142">
        <f t="shared" si="77"/>
        <v>0</v>
      </c>
      <c r="S142">
        <f t="shared" si="78"/>
        <v>0</v>
      </c>
      <c r="T142">
        <f t="shared" si="79"/>
        <v>0</v>
      </c>
      <c r="U142">
        <f t="shared" si="80"/>
        <v>1</v>
      </c>
      <c r="V142">
        <f t="shared" si="81"/>
        <v>0</v>
      </c>
      <c r="W142">
        <f t="shared" si="82"/>
        <v>0</v>
      </c>
      <c r="X142">
        <f t="shared" si="83"/>
        <v>0</v>
      </c>
      <c r="Y142">
        <f t="shared" si="84"/>
        <v>0</v>
      </c>
      <c r="Z142">
        <f t="shared" si="85"/>
        <v>0</v>
      </c>
      <c r="AA142">
        <f t="shared" si="86"/>
        <v>0</v>
      </c>
      <c r="AB142">
        <f t="shared" si="87"/>
        <v>0</v>
      </c>
      <c r="AC142">
        <f t="shared" si="88"/>
        <v>0</v>
      </c>
      <c r="AD142">
        <f t="shared" si="89"/>
        <v>0</v>
      </c>
      <c r="AE142">
        <f t="shared" si="90"/>
        <v>0</v>
      </c>
      <c r="AF142">
        <f t="shared" si="91"/>
        <v>0</v>
      </c>
      <c r="AG142">
        <f t="shared" si="92"/>
        <v>0</v>
      </c>
      <c r="AH142">
        <f t="shared" si="93"/>
        <v>0</v>
      </c>
      <c r="AI142">
        <f t="shared" si="94"/>
        <v>1</v>
      </c>
      <c r="AJ142">
        <f t="shared" si="95"/>
        <v>0</v>
      </c>
      <c r="AK142">
        <f t="shared" si="96"/>
        <v>0</v>
      </c>
      <c r="AL142">
        <f t="shared" si="107"/>
        <v>0</v>
      </c>
      <c r="AM142">
        <f t="shared" si="108"/>
        <v>0</v>
      </c>
      <c r="AN142">
        <f t="shared" si="97"/>
        <v>0</v>
      </c>
      <c r="AO142">
        <f t="shared" si="98"/>
        <v>0</v>
      </c>
      <c r="AP142">
        <f t="shared" si="99"/>
        <v>0</v>
      </c>
      <c r="AQ142">
        <f t="shared" si="109"/>
        <v>0</v>
      </c>
      <c r="AR142">
        <f t="shared" si="110"/>
        <v>0</v>
      </c>
      <c r="AS142">
        <f t="shared" si="100"/>
        <v>0</v>
      </c>
      <c r="AT142">
        <f t="shared" si="101"/>
        <v>0</v>
      </c>
      <c r="AU142">
        <f t="shared" si="102"/>
        <v>0</v>
      </c>
      <c r="AV142">
        <f t="shared" si="103"/>
        <v>0</v>
      </c>
      <c r="AW142">
        <f t="shared" si="104"/>
        <v>0</v>
      </c>
      <c r="AX142">
        <f t="shared" si="105"/>
        <v>0</v>
      </c>
      <c r="AY142">
        <f t="shared" si="106"/>
        <v>0</v>
      </c>
      <c r="AZ142" t="s">
        <v>246</v>
      </c>
    </row>
    <row r="143" spans="1:52" ht="28.8">
      <c r="A143">
        <v>142</v>
      </c>
      <c r="B143" s="14">
        <v>46180</v>
      </c>
      <c r="C143" t="s">
        <v>22</v>
      </c>
      <c r="E143" s="2" t="s">
        <v>385</v>
      </c>
      <c r="F143" t="s">
        <v>5</v>
      </c>
      <c r="G143">
        <v>5</v>
      </c>
      <c r="H143">
        <v>12</v>
      </c>
      <c r="I143">
        <v>27</v>
      </c>
      <c r="J143">
        <v>29</v>
      </c>
      <c r="K143" s="2" t="s">
        <v>384</v>
      </c>
      <c r="L143" t="s">
        <v>191</v>
      </c>
      <c r="M143" t="s">
        <v>11</v>
      </c>
      <c r="N143" t="s">
        <v>198</v>
      </c>
      <c r="O143">
        <f t="shared" si="74"/>
        <v>1</v>
      </c>
      <c r="P143">
        <f t="shared" si="75"/>
        <v>0</v>
      </c>
      <c r="Q143">
        <f t="shared" si="76"/>
        <v>0</v>
      </c>
      <c r="R143">
        <f t="shared" si="77"/>
        <v>0</v>
      </c>
      <c r="S143">
        <f t="shared" si="78"/>
        <v>0</v>
      </c>
      <c r="T143">
        <f t="shared" si="79"/>
        <v>0</v>
      </c>
      <c r="U143">
        <f t="shared" si="80"/>
        <v>0</v>
      </c>
      <c r="V143">
        <f t="shared" si="81"/>
        <v>1</v>
      </c>
      <c r="W143">
        <f t="shared" si="82"/>
        <v>1</v>
      </c>
      <c r="X143">
        <f t="shared" si="83"/>
        <v>1</v>
      </c>
      <c r="Y143">
        <f t="shared" si="84"/>
        <v>0</v>
      </c>
      <c r="Z143">
        <f t="shared" si="85"/>
        <v>0</v>
      </c>
      <c r="AA143">
        <f t="shared" si="86"/>
        <v>1</v>
      </c>
      <c r="AB143">
        <f t="shared" si="87"/>
        <v>1</v>
      </c>
      <c r="AC143">
        <f t="shared" si="88"/>
        <v>0</v>
      </c>
      <c r="AD143">
        <f t="shared" si="89"/>
        <v>0</v>
      </c>
      <c r="AE143">
        <f t="shared" si="90"/>
        <v>0</v>
      </c>
      <c r="AF143">
        <f t="shared" si="91"/>
        <v>0</v>
      </c>
      <c r="AG143">
        <f t="shared" si="92"/>
        <v>0</v>
      </c>
      <c r="AH143">
        <f t="shared" si="93"/>
        <v>0</v>
      </c>
      <c r="AI143">
        <f t="shared" si="94"/>
        <v>0</v>
      </c>
      <c r="AJ143">
        <f t="shared" si="95"/>
        <v>0</v>
      </c>
      <c r="AK143">
        <f t="shared" si="96"/>
        <v>0</v>
      </c>
      <c r="AL143">
        <f t="shared" si="107"/>
        <v>0</v>
      </c>
      <c r="AM143">
        <f t="shared" si="108"/>
        <v>0</v>
      </c>
      <c r="AN143">
        <f t="shared" si="97"/>
        <v>0</v>
      </c>
      <c r="AO143">
        <f t="shared" si="98"/>
        <v>0</v>
      </c>
      <c r="AP143">
        <f t="shared" si="99"/>
        <v>0</v>
      </c>
      <c r="AQ143">
        <f t="shared" si="109"/>
        <v>0</v>
      </c>
      <c r="AR143">
        <f t="shared" si="110"/>
        <v>0</v>
      </c>
      <c r="AS143">
        <f t="shared" si="100"/>
        <v>0</v>
      </c>
      <c r="AT143">
        <f t="shared" si="101"/>
        <v>0</v>
      </c>
      <c r="AU143">
        <f t="shared" si="102"/>
        <v>0</v>
      </c>
      <c r="AV143">
        <f t="shared" si="103"/>
        <v>0</v>
      </c>
      <c r="AW143">
        <f t="shared" si="104"/>
        <v>0</v>
      </c>
      <c r="AX143">
        <f t="shared" si="105"/>
        <v>0</v>
      </c>
      <c r="AY143">
        <f t="shared" si="106"/>
        <v>0</v>
      </c>
      <c r="AZ143" t="s">
        <v>246</v>
      </c>
    </row>
    <row r="144" spans="1:52">
      <c r="A144">
        <v>143</v>
      </c>
      <c r="B144" s="14">
        <v>46180</v>
      </c>
      <c r="C144" t="s">
        <v>22</v>
      </c>
      <c r="D144" t="s">
        <v>2</v>
      </c>
      <c r="E144" t="s">
        <v>383</v>
      </c>
      <c r="F144" t="s">
        <v>5</v>
      </c>
      <c r="G144">
        <v>8</v>
      </c>
      <c r="H144">
        <v>10</v>
      </c>
      <c r="I144" t="s">
        <v>248</v>
      </c>
      <c r="J144" t="s">
        <v>248</v>
      </c>
      <c r="K144" t="s">
        <v>382</v>
      </c>
      <c r="L144" t="s">
        <v>191</v>
      </c>
      <c r="M144" t="s">
        <v>11</v>
      </c>
      <c r="N144" t="s">
        <v>198</v>
      </c>
      <c r="O144">
        <f t="shared" si="74"/>
        <v>1</v>
      </c>
      <c r="P144">
        <f t="shared" si="75"/>
        <v>1</v>
      </c>
      <c r="Q144">
        <f t="shared" si="76"/>
        <v>1</v>
      </c>
      <c r="R144">
        <f t="shared" si="77"/>
        <v>0</v>
      </c>
      <c r="S144">
        <f t="shared" si="78"/>
        <v>0</v>
      </c>
      <c r="T144">
        <f t="shared" si="79"/>
        <v>0</v>
      </c>
      <c r="U144">
        <f t="shared" si="80"/>
        <v>1</v>
      </c>
      <c r="V144">
        <f t="shared" si="81"/>
        <v>0</v>
      </c>
      <c r="W144">
        <f t="shared" si="82"/>
        <v>0</v>
      </c>
      <c r="X144">
        <f t="shared" si="83"/>
        <v>0</v>
      </c>
      <c r="Y144">
        <f t="shared" si="84"/>
        <v>0</v>
      </c>
      <c r="Z144">
        <f t="shared" si="85"/>
        <v>0</v>
      </c>
      <c r="AA144">
        <f t="shared" si="86"/>
        <v>0</v>
      </c>
      <c r="AB144">
        <f t="shared" si="87"/>
        <v>0</v>
      </c>
      <c r="AC144">
        <f t="shared" si="88"/>
        <v>1</v>
      </c>
      <c r="AD144">
        <f t="shared" si="89"/>
        <v>0</v>
      </c>
      <c r="AE144">
        <f t="shared" si="90"/>
        <v>0</v>
      </c>
      <c r="AF144">
        <f t="shared" si="91"/>
        <v>0</v>
      </c>
      <c r="AG144">
        <f t="shared" si="92"/>
        <v>1</v>
      </c>
      <c r="AH144">
        <f t="shared" si="93"/>
        <v>0</v>
      </c>
      <c r="AI144">
        <f t="shared" si="94"/>
        <v>0</v>
      </c>
      <c r="AJ144">
        <f t="shared" si="95"/>
        <v>0</v>
      </c>
      <c r="AK144">
        <f t="shared" si="96"/>
        <v>0</v>
      </c>
      <c r="AL144">
        <f t="shared" si="107"/>
        <v>0</v>
      </c>
      <c r="AM144">
        <f t="shared" si="108"/>
        <v>0</v>
      </c>
      <c r="AN144">
        <f t="shared" si="97"/>
        <v>0</v>
      </c>
      <c r="AO144">
        <f t="shared" si="98"/>
        <v>0</v>
      </c>
      <c r="AP144">
        <f t="shared" si="99"/>
        <v>0</v>
      </c>
      <c r="AQ144">
        <f t="shared" si="109"/>
        <v>0</v>
      </c>
      <c r="AR144">
        <f t="shared" si="110"/>
        <v>0</v>
      </c>
      <c r="AS144">
        <f t="shared" si="100"/>
        <v>0</v>
      </c>
      <c r="AT144">
        <f t="shared" si="101"/>
        <v>0</v>
      </c>
      <c r="AU144">
        <f t="shared" si="102"/>
        <v>0</v>
      </c>
      <c r="AV144">
        <f t="shared" si="103"/>
        <v>0</v>
      </c>
      <c r="AW144">
        <f t="shared" si="104"/>
        <v>0</v>
      </c>
      <c r="AX144">
        <f t="shared" si="105"/>
        <v>0</v>
      </c>
      <c r="AY144">
        <f t="shared" si="106"/>
        <v>0</v>
      </c>
      <c r="AZ144" t="s">
        <v>246</v>
      </c>
    </row>
    <row r="145" spans="1:52">
      <c r="A145">
        <v>144</v>
      </c>
      <c r="B145" s="14">
        <v>46180</v>
      </c>
      <c r="C145" t="s">
        <v>22</v>
      </c>
      <c r="D145" t="s">
        <v>8</v>
      </c>
      <c r="E145" t="s">
        <v>381</v>
      </c>
      <c r="F145" t="s">
        <v>5</v>
      </c>
      <c r="G145">
        <v>8</v>
      </c>
      <c r="H145">
        <v>11</v>
      </c>
      <c r="I145" t="s">
        <v>248</v>
      </c>
      <c r="J145" t="s">
        <v>248</v>
      </c>
      <c r="K145" t="s">
        <v>380</v>
      </c>
      <c r="L145" t="s">
        <v>191</v>
      </c>
      <c r="M145" t="s">
        <v>11</v>
      </c>
      <c r="N145" t="s">
        <v>198</v>
      </c>
      <c r="O145">
        <f t="shared" si="74"/>
        <v>1</v>
      </c>
      <c r="P145">
        <f t="shared" si="75"/>
        <v>1</v>
      </c>
      <c r="Q145">
        <f t="shared" si="76"/>
        <v>0</v>
      </c>
      <c r="R145">
        <f t="shared" si="77"/>
        <v>0</v>
      </c>
      <c r="S145">
        <f t="shared" si="78"/>
        <v>0</v>
      </c>
      <c r="T145">
        <f t="shared" si="79"/>
        <v>0</v>
      </c>
      <c r="U145">
        <f t="shared" si="80"/>
        <v>0</v>
      </c>
      <c r="V145">
        <f t="shared" si="81"/>
        <v>0</v>
      </c>
      <c r="W145">
        <f t="shared" si="82"/>
        <v>0</v>
      </c>
      <c r="X145">
        <f t="shared" si="83"/>
        <v>0</v>
      </c>
      <c r="Y145">
        <f t="shared" si="84"/>
        <v>0</v>
      </c>
      <c r="Z145">
        <f t="shared" si="85"/>
        <v>0</v>
      </c>
      <c r="AA145">
        <f t="shared" si="86"/>
        <v>0</v>
      </c>
      <c r="AB145">
        <f t="shared" si="87"/>
        <v>0</v>
      </c>
      <c r="AC145">
        <f t="shared" si="88"/>
        <v>0</v>
      </c>
      <c r="AD145">
        <f t="shared" si="89"/>
        <v>1</v>
      </c>
      <c r="AE145">
        <f t="shared" si="90"/>
        <v>0</v>
      </c>
      <c r="AF145">
        <f t="shared" si="91"/>
        <v>0</v>
      </c>
      <c r="AG145">
        <f t="shared" si="92"/>
        <v>1</v>
      </c>
      <c r="AH145">
        <f t="shared" si="93"/>
        <v>0</v>
      </c>
      <c r="AI145">
        <f t="shared" si="94"/>
        <v>0</v>
      </c>
      <c r="AJ145">
        <f t="shared" si="95"/>
        <v>0</v>
      </c>
      <c r="AK145">
        <f t="shared" si="96"/>
        <v>0</v>
      </c>
      <c r="AL145">
        <f t="shared" si="107"/>
        <v>0</v>
      </c>
      <c r="AM145">
        <f t="shared" si="108"/>
        <v>0</v>
      </c>
      <c r="AN145">
        <f t="shared" si="97"/>
        <v>0</v>
      </c>
      <c r="AO145">
        <f t="shared" si="98"/>
        <v>0</v>
      </c>
      <c r="AP145">
        <f t="shared" si="99"/>
        <v>0</v>
      </c>
      <c r="AQ145">
        <f t="shared" si="109"/>
        <v>0</v>
      </c>
      <c r="AR145">
        <f t="shared" si="110"/>
        <v>0</v>
      </c>
      <c r="AS145">
        <f t="shared" si="100"/>
        <v>0</v>
      </c>
      <c r="AT145">
        <f t="shared" si="101"/>
        <v>0</v>
      </c>
      <c r="AU145">
        <f t="shared" si="102"/>
        <v>0</v>
      </c>
      <c r="AV145">
        <f t="shared" si="103"/>
        <v>0</v>
      </c>
      <c r="AW145">
        <f t="shared" si="104"/>
        <v>0</v>
      </c>
      <c r="AX145">
        <f t="shared" si="105"/>
        <v>0</v>
      </c>
      <c r="AY145">
        <f t="shared" si="106"/>
        <v>0</v>
      </c>
      <c r="AZ145" t="s">
        <v>246</v>
      </c>
    </row>
    <row r="146" spans="1:52">
      <c r="A146">
        <v>145</v>
      </c>
      <c r="B146" s="14">
        <v>46180</v>
      </c>
      <c r="C146" t="s">
        <v>22</v>
      </c>
      <c r="D146" t="s">
        <v>4</v>
      </c>
      <c r="E146" t="s">
        <v>379</v>
      </c>
      <c r="F146" t="s">
        <v>3</v>
      </c>
      <c r="G146">
        <v>7</v>
      </c>
      <c r="H146">
        <v>12</v>
      </c>
      <c r="I146" t="s">
        <v>248</v>
      </c>
      <c r="J146" t="s">
        <v>248</v>
      </c>
      <c r="K146" t="s">
        <v>378</v>
      </c>
      <c r="L146" s="2" t="s">
        <v>191</v>
      </c>
      <c r="M146" t="s">
        <v>11</v>
      </c>
      <c r="N146" t="s">
        <v>198</v>
      </c>
      <c r="O146">
        <f t="shared" si="74"/>
        <v>0</v>
      </c>
      <c r="P146">
        <f t="shared" si="75"/>
        <v>0</v>
      </c>
      <c r="Q146">
        <f t="shared" si="76"/>
        <v>0</v>
      </c>
      <c r="R146">
        <f t="shared" si="77"/>
        <v>0</v>
      </c>
      <c r="S146">
        <f t="shared" si="78"/>
        <v>0</v>
      </c>
      <c r="T146">
        <f t="shared" si="79"/>
        <v>0</v>
      </c>
      <c r="U146">
        <f t="shared" si="80"/>
        <v>0</v>
      </c>
      <c r="V146">
        <f t="shared" si="81"/>
        <v>0</v>
      </c>
      <c r="W146">
        <f t="shared" si="82"/>
        <v>0</v>
      </c>
      <c r="X146">
        <f t="shared" si="83"/>
        <v>0</v>
      </c>
      <c r="Y146">
        <f t="shared" si="84"/>
        <v>0</v>
      </c>
      <c r="Z146">
        <f t="shared" si="85"/>
        <v>0</v>
      </c>
      <c r="AA146">
        <f t="shared" si="86"/>
        <v>0</v>
      </c>
      <c r="AB146">
        <f t="shared" si="87"/>
        <v>0</v>
      </c>
      <c r="AC146">
        <f t="shared" si="88"/>
        <v>0</v>
      </c>
      <c r="AD146">
        <f t="shared" si="89"/>
        <v>0</v>
      </c>
      <c r="AE146">
        <f t="shared" si="90"/>
        <v>0</v>
      </c>
      <c r="AF146">
        <f t="shared" si="91"/>
        <v>0</v>
      </c>
      <c r="AG146">
        <f t="shared" si="92"/>
        <v>0</v>
      </c>
      <c r="AH146">
        <f t="shared" si="93"/>
        <v>1</v>
      </c>
      <c r="AI146">
        <f t="shared" si="94"/>
        <v>0</v>
      </c>
      <c r="AJ146">
        <f t="shared" si="95"/>
        <v>0</v>
      </c>
      <c r="AK146">
        <f t="shared" si="96"/>
        <v>0</v>
      </c>
      <c r="AL146">
        <f t="shared" si="107"/>
        <v>0</v>
      </c>
      <c r="AM146">
        <f t="shared" si="108"/>
        <v>0</v>
      </c>
      <c r="AN146">
        <f t="shared" si="97"/>
        <v>0</v>
      </c>
      <c r="AO146">
        <f t="shared" si="98"/>
        <v>0</v>
      </c>
      <c r="AP146">
        <f t="shared" si="99"/>
        <v>0</v>
      </c>
      <c r="AQ146">
        <f t="shared" si="109"/>
        <v>0</v>
      </c>
      <c r="AR146">
        <f t="shared" si="110"/>
        <v>0</v>
      </c>
      <c r="AS146">
        <f t="shared" si="100"/>
        <v>0</v>
      </c>
      <c r="AT146">
        <f t="shared" si="101"/>
        <v>0</v>
      </c>
      <c r="AU146">
        <f t="shared" si="102"/>
        <v>0</v>
      </c>
      <c r="AV146">
        <f t="shared" si="103"/>
        <v>0</v>
      </c>
      <c r="AW146">
        <f t="shared" si="104"/>
        <v>0</v>
      </c>
      <c r="AX146">
        <f t="shared" si="105"/>
        <v>0</v>
      </c>
      <c r="AY146">
        <f t="shared" si="106"/>
        <v>0</v>
      </c>
      <c r="AZ146" t="s">
        <v>246</v>
      </c>
    </row>
    <row r="147" spans="1:52">
      <c r="A147">
        <v>146</v>
      </c>
      <c r="B147" s="14">
        <v>46180</v>
      </c>
      <c r="C147" t="s">
        <v>22</v>
      </c>
      <c r="D147" t="s">
        <v>8</v>
      </c>
      <c r="E147" t="s">
        <v>376</v>
      </c>
      <c r="F147" t="s">
        <v>3</v>
      </c>
      <c r="G147">
        <v>5</v>
      </c>
      <c r="H147">
        <v>7</v>
      </c>
      <c r="I147" t="s">
        <v>248</v>
      </c>
      <c r="J147" t="s">
        <v>248</v>
      </c>
      <c r="K147" t="s">
        <v>377</v>
      </c>
      <c r="L147" t="s">
        <v>191</v>
      </c>
      <c r="M147" t="s">
        <v>11</v>
      </c>
      <c r="N147" t="s">
        <v>206</v>
      </c>
      <c r="O147">
        <f t="shared" si="74"/>
        <v>1</v>
      </c>
      <c r="P147">
        <f t="shared" si="75"/>
        <v>1</v>
      </c>
      <c r="Q147">
        <f t="shared" si="76"/>
        <v>1</v>
      </c>
      <c r="R147">
        <f t="shared" si="77"/>
        <v>1</v>
      </c>
      <c r="S147">
        <f t="shared" si="78"/>
        <v>0</v>
      </c>
      <c r="T147">
        <f t="shared" si="79"/>
        <v>0</v>
      </c>
      <c r="U147">
        <f t="shared" si="80"/>
        <v>1</v>
      </c>
      <c r="V147">
        <f t="shared" si="81"/>
        <v>0</v>
      </c>
      <c r="W147">
        <f t="shared" si="82"/>
        <v>0</v>
      </c>
      <c r="X147">
        <f t="shared" si="83"/>
        <v>0</v>
      </c>
      <c r="Y147">
        <f t="shared" si="84"/>
        <v>0</v>
      </c>
      <c r="Z147">
        <f t="shared" si="85"/>
        <v>0</v>
      </c>
      <c r="AA147">
        <f t="shared" si="86"/>
        <v>0</v>
      </c>
      <c r="AB147">
        <f t="shared" si="87"/>
        <v>0</v>
      </c>
      <c r="AC147">
        <f t="shared" si="88"/>
        <v>1</v>
      </c>
      <c r="AD147">
        <f t="shared" si="89"/>
        <v>0</v>
      </c>
      <c r="AE147">
        <f t="shared" si="90"/>
        <v>0</v>
      </c>
      <c r="AF147">
        <f t="shared" si="91"/>
        <v>0</v>
      </c>
      <c r="AG147">
        <f t="shared" si="92"/>
        <v>0</v>
      </c>
      <c r="AH147">
        <f t="shared" si="93"/>
        <v>0</v>
      </c>
      <c r="AI147">
        <f t="shared" si="94"/>
        <v>0</v>
      </c>
      <c r="AJ147">
        <f t="shared" si="95"/>
        <v>1</v>
      </c>
      <c r="AK147">
        <f t="shared" si="96"/>
        <v>0</v>
      </c>
      <c r="AL147">
        <f t="shared" si="107"/>
        <v>1</v>
      </c>
      <c r="AM147">
        <f t="shared" si="108"/>
        <v>0</v>
      </c>
      <c r="AN147">
        <f t="shared" si="97"/>
        <v>0</v>
      </c>
      <c r="AO147">
        <f t="shared" si="98"/>
        <v>0</v>
      </c>
      <c r="AP147">
        <f t="shared" si="99"/>
        <v>0</v>
      </c>
      <c r="AQ147">
        <f t="shared" si="109"/>
        <v>0</v>
      </c>
      <c r="AR147">
        <f t="shared" si="110"/>
        <v>0</v>
      </c>
      <c r="AS147">
        <f t="shared" si="100"/>
        <v>0</v>
      </c>
      <c r="AT147">
        <f t="shared" si="101"/>
        <v>0</v>
      </c>
      <c r="AU147">
        <f t="shared" si="102"/>
        <v>0</v>
      </c>
      <c r="AV147">
        <f t="shared" si="103"/>
        <v>0</v>
      </c>
      <c r="AW147">
        <f t="shared" si="104"/>
        <v>0</v>
      </c>
      <c r="AX147">
        <f t="shared" si="105"/>
        <v>0</v>
      </c>
      <c r="AY147">
        <f t="shared" si="106"/>
        <v>0</v>
      </c>
      <c r="AZ147" t="s">
        <v>246</v>
      </c>
    </row>
    <row r="148" spans="1:52">
      <c r="A148">
        <v>147</v>
      </c>
      <c r="B148" s="14">
        <v>46180</v>
      </c>
      <c r="C148" t="s">
        <v>22</v>
      </c>
      <c r="D148" t="s">
        <v>4</v>
      </c>
      <c r="E148" t="s">
        <v>376</v>
      </c>
      <c r="F148" t="s">
        <v>14</v>
      </c>
      <c r="G148">
        <v>10</v>
      </c>
      <c r="H148">
        <v>12</v>
      </c>
      <c r="I148" t="s">
        <v>248</v>
      </c>
      <c r="J148" t="s">
        <v>248</v>
      </c>
      <c r="K148" t="s">
        <v>375</v>
      </c>
      <c r="L148" t="s">
        <v>191</v>
      </c>
      <c r="M148" t="s">
        <v>11</v>
      </c>
      <c r="N148" t="s">
        <v>206</v>
      </c>
      <c r="O148">
        <f t="shared" si="74"/>
        <v>0</v>
      </c>
      <c r="P148">
        <f t="shared" si="75"/>
        <v>0</v>
      </c>
      <c r="Q148">
        <f t="shared" si="76"/>
        <v>0</v>
      </c>
      <c r="R148">
        <f t="shared" si="77"/>
        <v>0</v>
      </c>
      <c r="S148">
        <f t="shared" si="78"/>
        <v>0</v>
      </c>
      <c r="T148">
        <f t="shared" si="79"/>
        <v>0</v>
      </c>
      <c r="U148">
        <f t="shared" si="80"/>
        <v>0</v>
      </c>
      <c r="V148">
        <f t="shared" si="81"/>
        <v>0</v>
      </c>
      <c r="W148">
        <f t="shared" si="82"/>
        <v>0</v>
      </c>
      <c r="X148">
        <f t="shared" si="83"/>
        <v>0</v>
      </c>
      <c r="Y148">
        <f t="shared" si="84"/>
        <v>0</v>
      </c>
      <c r="Z148">
        <f t="shared" si="85"/>
        <v>0</v>
      </c>
      <c r="AA148">
        <f t="shared" si="86"/>
        <v>0</v>
      </c>
      <c r="AB148">
        <f t="shared" si="87"/>
        <v>0</v>
      </c>
      <c r="AC148">
        <f t="shared" si="88"/>
        <v>0</v>
      </c>
      <c r="AD148">
        <f t="shared" si="89"/>
        <v>0</v>
      </c>
      <c r="AE148">
        <f t="shared" si="90"/>
        <v>0</v>
      </c>
      <c r="AF148">
        <f t="shared" si="91"/>
        <v>0</v>
      </c>
      <c r="AG148">
        <f t="shared" si="92"/>
        <v>0</v>
      </c>
      <c r="AH148">
        <f t="shared" si="93"/>
        <v>1</v>
      </c>
      <c r="AI148">
        <f t="shared" si="94"/>
        <v>0</v>
      </c>
      <c r="AJ148">
        <f t="shared" si="95"/>
        <v>0</v>
      </c>
      <c r="AK148">
        <f t="shared" si="96"/>
        <v>0</v>
      </c>
      <c r="AL148">
        <f t="shared" si="107"/>
        <v>0</v>
      </c>
      <c r="AM148">
        <f t="shared" si="108"/>
        <v>0</v>
      </c>
      <c r="AN148">
        <f t="shared" si="97"/>
        <v>0</v>
      </c>
      <c r="AO148">
        <f t="shared" si="98"/>
        <v>0</v>
      </c>
      <c r="AP148">
        <f t="shared" si="99"/>
        <v>0</v>
      </c>
      <c r="AQ148">
        <f t="shared" si="109"/>
        <v>0</v>
      </c>
      <c r="AR148">
        <f t="shared" si="110"/>
        <v>0</v>
      </c>
      <c r="AS148">
        <f t="shared" si="100"/>
        <v>0</v>
      </c>
      <c r="AT148">
        <f t="shared" si="101"/>
        <v>0</v>
      </c>
      <c r="AU148">
        <f t="shared" si="102"/>
        <v>0</v>
      </c>
      <c r="AV148">
        <f t="shared" si="103"/>
        <v>0</v>
      </c>
      <c r="AW148">
        <f t="shared" si="104"/>
        <v>0</v>
      </c>
      <c r="AX148">
        <f t="shared" si="105"/>
        <v>0</v>
      </c>
      <c r="AY148">
        <f t="shared" si="106"/>
        <v>0</v>
      </c>
      <c r="AZ148" t="s">
        <v>246</v>
      </c>
    </row>
    <row r="149" spans="1:52">
      <c r="A149">
        <v>148</v>
      </c>
      <c r="B149" s="14">
        <v>46180</v>
      </c>
      <c r="C149" t="s">
        <v>22</v>
      </c>
      <c r="D149" t="s">
        <v>8</v>
      </c>
      <c r="E149" t="s">
        <v>374</v>
      </c>
      <c r="F149" t="s">
        <v>16</v>
      </c>
      <c r="G149">
        <v>2</v>
      </c>
      <c r="H149">
        <v>5</v>
      </c>
      <c r="I149" t="s">
        <v>248</v>
      </c>
      <c r="J149" t="s">
        <v>248</v>
      </c>
      <c r="K149" t="s">
        <v>373</v>
      </c>
      <c r="L149" t="s">
        <v>191</v>
      </c>
      <c r="M149" t="s">
        <v>11</v>
      </c>
      <c r="N149" t="s">
        <v>206</v>
      </c>
      <c r="O149">
        <f t="shared" si="74"/>
        <v>1</v>
      </c>
      <c r="P149">
        <f t="shared" si="75"/>
        <v>0</v>
      </c>
      <c r="Q149">
        <f t="shared" si="76"/>
        <v>0</v>
      </c>
      <c r="R149">
        <f t="shared" si="77"/>
        <v>0</v>
      </c>
      <c r="S149">
        <f t="shared" si="78"/>
        <v>0</v>
      </c>
      <c r="T149">
        <f t="shared" si="79"/>
        <v>0</v>
      </c>
      <c r="U149">
        <f t="shared" si="80"/>
        <v>0</v>
      </c>
      <c r="V149">
        <f t="shared" si="81"/>
        <v>0</v>
      </c>
      <c r="W149">
        <f t="shared" si="82"/>
        <v>1</v>
      </c>
      <c r="X149">
        <f t="shared" si="83"/>
        <v>0</v>
      </c>
      <c r="Y149">
        <f t="shared" si="84"/>
        <v>0</v>
      </c>
      <c r="Z149">
        <f t="shared" si="85"/>
        <v>0</v>
      </c>
      <c r="AA149">
        <f t="shared" si="86"/>
        <v>1</v>
      </c>
      <c r="AB149">
        <f t="shared" si="87"/>
        <v>1</v>
      </c>
      <c r="AC149">
        <f t="shared" si="88"/>
        <v>1</v>
      </c>
      <c r="AD149">
        <f t="shared" si="89"/>
        <v>0</v>
      </c>
      <c r="AE149">
        <f t="shared" si="90"/>
        <v>0</v>
      </c>
      <c r="AF149">
        <f t="shared" si="91"/>
        <v>0</v>
      </c>
      <c r="AG149">
        <f t="shared" si="92"/>
        <v>0</v>
      </c>
      <c r="AH149">
        <f t="shared" si="93"/>
        <v>0</v>
      </c>
      <c r="AI149">
        <f t="shared" si="94"/>
        <v>0</v>
      </c>
      <c r="AJ149">
        <f t="shared" si="95"/>
        <v>0</v>
      </c>
      <c r="AK149">
        <f t="shared" si="96"/>
        <v>0</v>
      </c>
      <c r="AL149">
        <f t="shared" si="107"/>
        <v>0</v>
      </c>
      <c r="AM149">
        <f t="shared" si="108"/>
        <v>0</v>
      </c>
      <c r="AN149">
        <f t="shared" si="97"/>
        <v>0</v>
      </c>
      <c r="AO149">
        <f t="shared" si="98"/>
        <v>0</v>
      </c>
      <c r="AP149">
        <f t="shared" si="99"/>
        <v>0</v>
      </c>
      <c r="AQ149">
        <f t="shared" si="109"/>
        <v>0</v>
      </c>
      <c r="AR149">
        <f t="shared" si="110"/>
        <v>0</v>
      </c>
      <c r="AS149">
        <f t="shared" si="100"/>
        <v>0</v>
      </c>
      <c r="AT149">
        <f t="shared" si="101"/>
        <v>0</v>
      </c>
      <c r="AU149">
        <f t="shared" si="102"/>
        <v>0</v>
      </c>
      <c r="AV149">
        <f t="shared" si="103"/>
        <v>0</v>
      </c>
      <c r="AW149">
        <f t="shared" si="104"/>
        <v>0</v>
      </c>
      <c r="AX149">
        <f t="shared" si="105"/>
        <v>0</v>
      </c>
      <c r="AY149">
        <f t="shared" si="106"/>
        <v>0</v>
      </c>
      <c r="AZ149" t="s">
        <v>246</v>
      </c>
    </row>
    <row r="150" spans="1:52">
      <c r="A150">
        <v>149</v>
      </c>
      <c r="B150" s="14">
        <v>46180</v>
      </c>
      <c r="C150" t="s">
        <v>22</v>
      </c>
      <c r="D150" t="s">
        <v>8</v>
      </c>
      <c r="E150" t="s">
        <v>372</v>
      </c>
      <c r="F150" t="s">
        <v>5</v>
      </c>
      <c r="G150">
        <v>4</v>
      </c>
      <c r="H150">
        <v>6</v>
      </c>
      <c r="I150" t="s">
        <v>248</v>
      </c>
      <c r="J150" t="s">
        <v>248</v>
      </c>
      <c r="K150" t="s">
        <v>371</v>
      </c>
      <c r="L150" t="s">
        <v>191</v>
      </c>
      <c r="M150" t="s">
        <v>11</v>
      </c>
      <c r="N150" t="s">
        <v>206</v>
      </c>
      <c r="O150">
        <f t="shared" si="74"/>
        <v>1</v>
      </c>
      <c r="P150">
        <f t="shared" si="75"/>
        <v>1</v>
      </c>
      <c r="Q150">
        <f t="shared" si="76"/>
        <v>0</v>
      </c>
      <c r="R150">
        <f t="shared" si="77"/>
        <v>0</v>
      </c>
      <c r="S150">
        <f t="shared" si="78"/>
        <v>0</v>
      </c>
      <c r="T150">
        <f t="shared" si="79"/>
        <v>0</v>
      </c>
      <c r="U150">
        <f t="shared" si="80"/>
        <v>0</v>
      </c>
      <c r="V150">
        <f t="shared" si="81"/>
        <v>0</v>
      </c>
      <c r="W150">
        <f t="shared" si="82"/>
        <v>0</v>
      </c>
      <c r="X150">
        <f t="shared" si="83"/>
        <v>0</v>
      </c>
      <c r="Y150">
        <f t="shared" si="84"/>
        <v>0</v>
      </c>
      <c r="Z150">
        <f t="shared" si="85"/>
        <v>0</v>
      </c>
      <c r="AA150">
        <f t="shared" si="86"/>
        <v>0</v>
      </c>
      <c r="AB150">
        <f t="shared" si="87"/>
        <v>0</v>
      </c>
      <c r="AC150">
        <f t="shared" si="88"/>
        <v>1</v>
      </c>
      <c r="AD150">
        <f t="shared" si="89"/>
        <v>1</v>
      </c>
      <c r="AE150">
        <f t="shared" si="90"/>
        <v>0</v>
      </c>
      <c r="AF150">
        <f t="shared" si="91"/>
        <v>0</v>
      </c>
      <c r="AG150">
        <f t="shared" si="92"/>
        <v>0</v>
      </c>
      <c r="AH150">
        <f t="shared" si="93"/>
        <v>0</v>
      </c>
      <c r="AI150">
        <f t="shared" si="94"/>
        <v>1</v>
      </c>
      <c r="AJ150">
        <f t="shared" si="95"/>
        <v>0</v>
      </c>
      <c r="AK150">
        <f t="shared" si="96"/>
        <v>0</v>
      </c>
      <c r="AL150">
        <f t="shared" si="107"/>
        <v>0</v>
      </c>
      <c r="AM150">
        <f t="shared" si="108"/>
        <v>0</v>
      </c>
      <c r="AN150">
        <f t="shared" si="97"/>
        <v>0</v>
      </c>
      <c r="AO150">
        <f t="shared" si="98"/>
        <v>0</v>
      </c>
      <c r="AP150">
        <f t="shared" si="99"/>
        <v>0</v>
      </c>
      <c r="AQ150">
        <f t="shared" si="109"/>
        <v>0</v>
      </c>
      <c r="AR150">
        <f t="shared" si="110"/>
        <v>1</v>
      </c>
      <c r="AS150">
        <f t="shared" si="100"/>
        <v>0</v>
      </c>
      <c r="AT150">
        <f t="shared" si="101"/>
        <v>0</v>
      </c>
      <c r="AU150">
        <f t="shared" si="102"/>
        <v>0</v>
      </c>
      <c r="AV150">
        <f t="shared" si="103"/>
        <v>0</v>
      </c>
      <c r="AW150">
        <f t="shared" si="104"/>
        <v>0</v>
      </c>
      <c r="AX150">
        <f t="shared" si="105"/>
        <v>0</v>
      </c>
      <c r="AY150">
        <f t="shared" si="106"/>
        <v>0</v>
      </c>
      <c r="AZ150" t="s">
        <v>246</v>
      </c>
    </row>
    <row r="151" spans="1:52" ht="28.8">
      <c r="A151">
        <v>150</v>
      </c>
      <c r="B151" s="14">
        <v>46180</v>
      </c>
      <c r="C151" t="s">
        <v>22</v>
      </c>
      <c r="D151" t="s">
        <v>2</v>
      </c>
      <c r="E151" t="s">
        <v>208</v>
      </c>
      <c r="F151" t="s">
        <v>14</v>
      </c>
      <c r="G151">
        <v>8</v>
      </c>
      <c r="H151">
        <v>10</v>
      </c>
      <c r="I151" t="s">
        <v>248</v>
      </c>
      <c r="J151" t="s">
        <v>248</v>
      </c>
      <c r="K151" s="2" t="s">
        <v>370</v>
      </c>
      <c r="L151" t="s">
        <v>369</v>
      </c>
      <c r="M151" t="s">
        <v>11</v>
      </c>
      <c r="N151" t="s">
        <v>206</v>
      </c>
      <c r="O151">
        <f t="shared" si="74"/>
        <v>1</v>
      </c>
      <c r="P151">
        <f t="shared" si="75"/>
        <v>1</v>
      </c>
      <c r="Q151">
        <f t="shared" si="76"/>
        <v>0</v>
      </c>
      <c r="R151">
        <f t="shared" si="77"/>
        <v>1</v>
      </c>
      <c r="S151">
        <f t="shared" si="78"/>
        <v>1</v>
      </c>
      <c r="T151">
        <f t="shared" si="79"/>
        <v>0</v>
      </c>
      <c r="U151">
        <f t="shared" si="80"/>
        <v>0</v>
      </c>
      <c r="V151">
        <f t="shared" si="81"/>
        <v>0</v>
      </c>
      <c r="W151">
        <f t="shared" si="82"/>
        <v>0</v>
      </c>
      <c r="X151">
        <f t="shared" si="83"/>
        <v>0</v>
      </c>
      <c r="Y151">
        <f t="shared" si="84"/>
        <v>0</v>
      </c>
      <c r="Z151">
        <f t="shared" si="85"/>
        <v>0</v>
      </c>
      <c r="AA151">
        <f t="shared" si="86"/>
        <v>1</v>
      </c>
      <c r="AB151">
        <f t="shared" si="87"/>
        <v>0</v>
      </c>
      <c r="AC151">
        <f t="shared" si="88"/>
        <v>1</v>
      </c>
      <c r="AD151">
        <f t="shared" si="89"/>
        <v>0</v>
      </c>
      <c r="AE151">
        <f t="shared" si="90"/>
        <v>0</v>
      </c>
      <c r="AF151">
        <f t="shared" si="91"/>
        <v>1</v>
      </c>
      <c r="AG151">
        <f t="shared" si="92"/>
        <v>0</v>
      </c>
      <c r="AH151">
        <f t="shared" si="93"/>
        <v>0</v>
      </c>
      <c r="AI151">
        <f t="shared" si="94"/>
        <v>0</v>
      </c>
      <c r="AJ151">
        <f t="shared" si="95"/>
        <v>0</v>
      </c>
      <c r="AK151">
        <f t="shared" si="96"/>
        <v>0</v>
      </c>
      <c r="AL151">
        <f t="shared" si="107"/>
        <v>0</v>
      </c>
      <c r="AM151">
        <f t="shared" si="108"/>
        <v>0</v>
      </c>
      <c r="AN151">
        <f t="shared" si="97"/>
        <v>0</v>
      </c>
      <c r="AO151">
        <f t="shared" si="98"/>
        <v>0</v>
      </c>
      <c r="AP151">
        <f t="shared" si="99"/>
        <v>0</v>
      </c>
      <c r="AQ151">
        <f t="shared" si="109"/>
        <v>1</v>
      </c>
      <c r="AR151">
        <f t="shared" si="110"/>
        <v>0</v>
      </c>
      <c r="AS151">
        <f t="shared" si="100"/>
        <v>0</v>
      </c>
      <c r="AT151">
        <f t="shared" si="101"/>
        <v>0</v>
      </c>
      <c r="AU151">
        <f t="shared" si="102"/>
        <v>0</v>
      </c>
      <c r="AV151">
        <f t="shared" si="103"/>
        <v>0</v>
      </c>
      <c r="AW151">
        <f t="shared" si="104"/>
        <v>0</v>
      </c>
      <c r="AX151">
        <f t="shared" si="105"/>
        <v>0</v>
      </c>
      <c r="AY151">
        <f t="shared" si="106"/>
        <v>0</v>
      </c>
      <c r="AZ151" t="s">
        <v>246</v>
      </c>
    </row>
    <row r="152" spans="1:52">
      <c r="A152">
        <v>151</v>
      </c>
      <c r="B152" s="14">
        <v>46180</v>
      </c>
      <c r="C152" t="s">
        <v>22</v>
      </c>
      <c r="D152" t="s">
        <v>4</v>
      </c>
      <c r="E152" t="s">
        <v>368</v>
      </c>
      <c r="F152" t="s">
        <v>16</v>
      </c>
      <c r="G152">
        <v>9</v>
      </c>
      <c r="H152">
        <v>12</v>
      </c>
      <c r="I152" t="s">
        <v>248</v>
      </c>
      <c r="J152" t="s">
        <v>248</v>
      </c>
      <c r="K152" t="s">
        <v>256</v>
      </c>
      <c r="L152" t="s">
        <v>191</v>
      </c>
      <c r="M152" t="s">
        <v>11</v>
      </c>
      <c r="N152" t="s">
        <v>206</v>
      </c>
      <c r="O152">
        <f t="shared" si="74"/>
        <v>0</v>
      </c>
      <c r="P152">
        <f t="shared" si="75"/>
        <v>0</v>
      </c>
      <c r="Q152">
        <f t="shared" si="76"/>
        <v>0</v>
      </c>
      <c r="R152">
        <f t="shared" si="77"/>
        <v>0</v>
      </c>
      <c r="S152">
        <f t="shared" si="78"/>
        <v>0</v>
      </c>
      <c r="T152">
        <f t="shared" si="79"/>
        <v>0</v>
      </c>
      <c r="U152">
        <f t="shared" si="80"/>
        <v>0</v>
      </c>
      <c r="V152">
        <f t="shared" si="81"/>
        <v>0</v>
      </c>
      <c r="W152">
        <f t="shared" si="82"/>
        <v>0</v>
      </c>
      <c r="X152">
        <f t="shared" si="83"/>
        <v>0</v>
      </c>
      <c r="Y152">
        <f t="shared" si="84"/>
        <v>0</v>
      </c>
      <c r="Z152">
        <f t="shared" si="85"/>
        <v>0</v>
      </c>
      <c r="AA152">
        <f t="shared" si="86"/>
        <v>0</v>
      </c>
      <c r="AB152">
        <f t="shared" si="87"/>
        <v>0</v>
      </c>
      <c r="AC152">
        <f t="shared" si="88"/>
        <v>0</v>
      </c>
      <c r="AD152">
        <f t="shared" si="89"/>
        <v>0</v>
      </c>
      <c r="AE152">
        <f t="shared" si="90"/>
        <v>0</v>
      </c>
      <c r="AF152">
        <f t="shared" si="91"/>
        <v>0</v>
      </c>
      <c r="AG152">
        <f t="shared" si="92"/>
        <v>0</v>
      </c>
      <c r="AH152">
        <f t="shared" si="93"/>
        <v>0</v>
      </c>
      <c r="AI152">
        <f t="shared" si="94"/>
        <v>0</v>
      </c>
      <c r="AJ152">
        <f t="shared" si="95"/>
        <v>0</v>
      </c>
      <c r="AK152">
        <f t="shared" si="96"/>
        <v>0</v>
      </c>
      <c r="AL152">
        <f t="shared" si="107"/>
        <v>0</v>
      </c>
      <c r="AM152">
        <f t="shared" si="108"/>
        <v>0</v>
      </c>
      <c r="AN152">
        <f t="shared" si="97"/>
        <v>0</v>
      </c>
      <c r="AO152">
        <f t="shared" si="98"/>
        <v>0</v>
      </c>
      <c r="AP152">
        <f t="shared" si="99"/>
        <v>0</v>
      </c>
      <c r="AQ152">
        <f t="shared" si="109"/>
        <v>0</v>
      </c>
      <c r="AR152">
        <f t="shared" si="110"/>
        <v>0</v>
      </c>
      <c r="AS152">
        <f t="shared" si="100"/>
        <v>0</v>
      </c>
      <c r="AT152">
        <f t="shared" si="101"/>
        <v>1</v>
      </c>
      <c r="AU152">
        <f t="shared" si="102"/>
        <v>0</v>
      </c>
      <c r="AV152">
        <f t="shared" si="103"/>
        <v>0</v>
      </c>
      <c r="AW152">
        <f t="shared" si="104"/>
        <v>0</v>
      </c>
      <c r="AX152">
        <f t="shared" si="105"/>
        <v>0</v>
      </c>
      <c r="AY152">
        <f t="shared" si="106"/>
        <v>0</v>
      </c>
      <c r="AZ152" t="s">
        <v>246</v>
      </c>
    </row>
    <row r="153" spans="1:52">
      <c r="A153">
        <v>152</v>
      </c>
      <c r="B153" s="14">
        <v>46180</v>
      </c>
      <c r="C153" t="s">
        <v>22</v>
      </c>
      <c r="D153" t="s">
        <v>4</v>
      </c>
      <c r="E153" t="s">
        <v>367</v>
      </c>
      <c r="F153" t="s">
        <v>3</v>
      </c>
      <c r="G153">
        <v>4</v>
      </c>
      <c r="H153">
        <v>6</v>
      </c>
      <c r="I153" t="s">
        <v>248</v>
      </c>
      <c r="J153" t="s">
        <v>248</v>
      </c>
      <c r="K153" t="s">
        <v>366</v>
      </c>
      <c r="L153" t="s">
        <v>191</v>
      </c>
      <c r="M153" t="s">
        <v>11</v>
      </c>
      <c r="N153" t="s">
        <v>206</v>
      </c>
      <c r="O153">
        <f t="shared" si="74"/>
        <v>0</v>
      </c>
      <c r="P153">
        <f t="shared" si="75"/>
        <v>0</v>
      </c>
      <c r="Q153">
        <f t="shared" si="76"/>
        <v>0</v>
      </c>
      <c r="R153">
        <f t="shared" si="77"/>
        <v>0</v>
      </c>
      <c r="S153">
        <f t="shared" si="78"/>
        <v>0</v>
      </c>
      <c r="T153">
        <f t="shared" si="79"/>
        <v>0</v>
      </c>
      <c r="U153">
        <f t="shared" si="80"/>
        <v>0</v>
      </c>
      <c r="V153">
        <f t="shared" si="81"/>
        <v>0</v>
      </c>
      <c r="W153">
        <f t="shared" si="82"/>
        <v>0</v>
      </c>
      <c r="X153">
        <f t="shared" si="83"/>
        <v>0</v>
      </c>
      <c r="Y153">
        <f t="shared" si="84"/>
        <v>0</v>
      </c>
      <c r="Z153">
        <f t="shared" si="85"/>
        <v>0</v>
      </c>
      <c r="AA153">
        <f t="shared" si="86"/>
        <v>0</v>
      </c>
      <c r="AB153">
        <f t="shared" si="87"/>
        <v>0</v>
      </c>
      <c r="AC153">
        <f t="shared" si="88"/>
        <v>0</v>
      </c>
      <c r="AD153">
        <f t="shared" si="89"/>
        <v>0</v>
      </c>
      <c r="AE153">
        <f t="shared" si="90"/>
        <v>0</v>
      </c>
      <c r="AF153">
        <f t="shared" si="91"/>
        <v>0</v>
      </c>
      <c r="AG153">
        <f t="shared" si="92"/>
        <v>0</v>
      </c>
      <c r="AH153">
        <f t="shared" si="93"/>
        <v>0</v>
      </c>
      <c r="AI153">
        <f t="shared" si="94"/>
        <v>0</v>
      </c>
      <c r="AJ153">
        <f t="shared" si="95"/>
        <v>0</v>
      </c>
      <c r="AK153">
        <f t="shared" si="96"/>
        <v>0</v>
      </c>
      <c r="AL153">
        <f t="shared" si="107"/>
        <v>0</v>
      </c>
      <c r="AM153">
        <f t="shared" si="108"/>
        <v>0</v>
      </c>
      <c r="AN153">
        <f t="shared" si="97"/>
        <v>0</v>
      </c>
      <c r="AO153">
        <f t="shared" si="98"/>
        <v>0</v>
      </c>
      <c r="AP153">
        <f t="shared" si="99"/>
        <v>0</v>
      </c>
      <c r="AQ153">
        <f t="shared" si="109"/>
        <v>0</v>
      </c>
      <c r="AR153">
        <f t="shared" si="110"/>
        <v>1</v>
      </c>
      <c r="AS153">
        <f t="shared" si="100"/>
        <v>0</v>
      </c>
      <c r="AT153">
        <f t="shared" si="101"/>
        <v>0</v>
      </c>
      <c r="AU153">
        <f t="shared" si="102"/>
        <v>0</v>
      </c>
      <c r="AV153">
        <f t="shared" si="103"/>
        <v>0</v>
      </c>
      <c r="AW153">
        <f t="shared" si="104"/>
        <v>0</v>
      </c>
      <c r="AX153">
        <f t="shared" si="105"/>
        <v>0</v>
      </c>
      <c r="AY153">
        <f t="shared" si="106"/>
        <v>0</v>
      </c>
      <c r="AZ153" t="s">
        <v>246</v>
      </c>
    </row>
    <row r="154" spans="1:52">
      <c r="A154">
        <v>153</v>
      </c>
      <c r="B154" s="14">
        <v>46180</v>
      </c>
      <c r="C154" t="s">
        <v>22</v>
      </c>
      <c r="D154" t="s">
        <v>8</v>
      </c>
      <c r="E154" t="s">
        <v>365</v>
      </c>
      <c r="F154" t="s">
        <v>3</v>
      </c>
      <c r="G154">
        <v>5</v>
      </c>
      <c r="H154">
        <v>7</v>
      </c>
      <c r="I154" t="s">
        <v>248</v>
      </c>
      <c r="J154" t="s">
        <v>248</v>
      </c>
      <c r="K154" t="s">
        <v>364</v>
      </c>
      <c r="L154" t="s">
        <v>363</v>
      </c>
      <c r="M154" t="s">
        <v>11</v>
      </c>
      <c r="N154" t="s">
        <v>198</v>
      </c>
      <c r="O154">
        <f t="shared" si="74"/>
        <v>1</v>
      </c>
      <c r="P154">
        <f t="shared" si="75"/>
        <v>1</v>
      </c>
      <c r="Q154">
        <f t="shared" si="76"/>
        <v>0</v>
      </c>
      <c r="R154">
        <f t="shared" si="77"/>
        <v>0</v>
      </c>
      <c r="S154">
        <f t="shared" si="78"/>
        <v>0</v>
      </c>
      <c r="T154">
        <f t="shared" si="79"/>
        <v>0</v>
      </c>
      <c r="U154">
        <f t="shared" si="80"/>
        <v>0</v>
      </c>
      <c r="V154">
        <f t="shared" si="81"/>
        <v>0</v>
      </c>
      <c r="W154">
        <f t="shared" si="82"/>
        <v>0</v>
      </c>
      <c r="X154">
        <f t="shared" si="83"/>
        <v>0</v>
      </c>
      <c r="Y154">
        <f t="shared" si="84"/>
        <v>0</v>
      </c>
      <c r="Z154">
        <f t="shared" si="85"/>
        <v>0</v>
      </c>
      <c r="AA154">
        <f t="shared" si="86"/>
        <v>1</v>
      </c>
      <c r="AB154">
        <f t="shared" si="87"/>
        <v>0</v>
      </c>
      <c r="AC154">
        <f t="shared" si="88"/>
        <v>1</v>
      </c>
      <c r="AD154">
        <f t="shared" si="89"/>
        <v>1</v>
      </c>
      <c r="AE154">
        <f t="shared" si="90"/>
        <v>1</v>
      </c>
      <c r="AF154">
        <f t="shared" si="91"/>
        <v>0</v>
      </c>
      <c r="AG154">
        <f t="shared" si="92"/>
        <v>0</v>
      </c>
      <c r="AH154">
        <f t="shared" si="93"/>
        <v>0</v>
      </c>
      <c r="AI154">
        <f t="shared" si="94"/>
        <v>0</v>
      </c>
      <c r="AJ154">
        <f t="shared" si="95"/>
        <v>0</v>
      </c>
      <c r="AK154">
        <f t="shared" si="96"/>
        <v>0</v>
      </c>
      <c r="AL154">
        <f t="shared" si="107"/>
        <v>0</v>
      </c>
      <c r="AM154">
        <f t="shared" si="108"/>
        <v>0</v>
      </c>
      <c r="AN154">
        <f t="shared" si="97"/>
        <v>0</v>
      </c>
      <c r="AO154">
        <f t="shared" si="98"/>
        <v>0</v>
      </c>
      <c r="AP154">
        <f t="shared" si="99"/>
        <v>0</v>
      </c>
      <c r="AQ154">
        <f t="shared" si="109"/>
        <v>1</v>
      </c>
      <c r="AR154">
        <f t="shared" si="110"/>
        <v>0</v>
      </c>
      <c r="AS154">
        <f t="shared" si="100"/>
        <v>0</v>
      </c>
      <c r="AT154">
        <f t="shared" si="101"/>
        <v>0</v>
      </c>
      <c r="AU154">
        <f t="shared" si="102"/>
        <v>0</v>
      </c>
      <c r="AV154">
        <f t="shared" si="103"/>
        <v>0</v>
      </c>
      <c r="AW154">
        <f t="shared" si="104"/>
        <v>0</v>
      </c>
      <c r="AX154">
        <f t="shared" si="105"/>
        <v>0</v>
      </c>
      <c r="AY154">
        <f t="shared" si="106"/>
        <v>0</v>
      </c>
      <c r="AZ154" t="s">
        <v>246</v>
      </c>
    </row>
    <row r="155" spans="1:52">
      <c r="A155">
        <v>154</v>
      </c>
      <c r="B155" s="14">
        <v>46180</v>
      </c>
      <c r="C155" t="s">
        <v>22</v>
      </c>
      <c r="D155" t="s">
        <v>4</v>
      </c>
      <c r="E155" t="s">
        <v>362</v>
      </c>
      <c r="F155" t="s">
        <v>13</v>
      </c>
      <c r="G155">
        <v>0</v>
      </c>
      <c r="H155">
        <v>2</v>
      </c>
      <c r="I155" t="s">
        <v>248</v>
      </c>
      <c r="J155" t="s">
        <v>248</v>
      </c>
      <c r="K155" t="s">
        <v>361</v>
      </c>
      <c r="L155" t="s">
        <v>360</v>
      </c>
      <c r="M155" t="s">
        <v>11</v>
      </c>
      <c r="N155" t="s">
        <v>198</v>
      </c>
      <c r="O155">
        <f t="shared" si="74"/>
        <v>0</v>
      </c>
      <c r="P155">
        <f t="shared" si="75"/>
        <v>0</v>
      </c>
      <c r="Q155">
        <f t="shared" si="76"/>
        <v>0</v>
      </c>
      <c r="R155">
        <f t="shared" si="77"/>
        <v>0</v>
      </c>
      <c r="S155">
        <f t="shared" si="78"/>
        <v>0</v>
      </c>
      <c r="T155">
        <f t="shared" si="79"/>
        <v>0</v>
      </c>
      <c r="U155">
        <f t="shared" si="80"/>
        <v>0</v>
      </c>
      <c r="V155">
        <f t="shared" si="81"/>
        <v>0</v>
      </c>
      <c r="W155">
        <f t="shared" si="82"/>
        <v>0</v>
      </c>
      <c r="X155">
        <f t="shared" si="83"/>
        <v>0</v>
      </c>
      <c r="Y155">
        <f t="shared" si="84"/>
        <v>0</v>
      </c>
      <c r="Z155">
        <f t="shared" si="85"/>
        <v>0</v>
      </c>
      <c r="AA155">
        <f t="shared" si="86"/>
        <v>0</v>
      </c>
      <c r="AB155">
        <f t="shared" si="87"/>
        <v>0</v>
      </c>
      <c r="AC155">
        <f t="shared" si="88"/>
        <v>0</v>
      </c>
      <c r="AD155">
        <f t="shared" si="89"/>
        <v>0</v>
      </c>
      <c r="AE155">
        <f t="shared" si="90"/>
        <v>0</v>
      </c>
      <c r="AF155">
        <f t="shared" si="91"/>
        <v>0</v>
      </c>
      <c r="AG155">
        <f t="shared" si="92"/>
        <v>0</v>
      </c>
      <c r="AH155">
        <f t="shared" si="93"/>
        <v>0</v>
      </c>
      <c r="AI155">
        <f t="shared" si="94"/>
        <v>0</v>
      </c>
      <c r="AJ155">
        <f t="shared" si="95"/>
        <v>0</v>
      </c>
      <c r="AK155">
        <f t="shared" si="96"/>
        <v>1</v>
      </c>
      <c r="AL155">
        <f t="shared" si="107"/>
        <v>0</v>
      </c>
      <c r="AM155">
        <f t="shared" si="108"/>
        <v>0</v>
      </c>
      <c r="AN155">
        <f t="shared" si="97"/>
        <v>0</v>
      </c>
      <c r="AO155">
        <f t="shared" si="98"/>
        <v>0</v>
      </c>
      <c r="AP155">
        <f t="shared" si="99"/>
        <v>0</v>
      </c>
      <c r="AQ155">
        <f t="shared" si="109"/>
        <v>0</v>
      </c>
      <c r="AR155">
        <f t="shared" si="110"/>
        <v>0</v>
      </c>
      <c r="AS155">
        <f t="shared" si="100"/>
        <v>0</v>
      </c>
      <c r="AT155">
        <f t="shared" si="101"/>
        <v>0</v>
      </c>
      <c r="AU155">
        <f t="shared" si="102"/>
        <v>0</v>
      </c>
      <c r="AV155">
        <f t="shared" si="103"/>
        <v>0</v>
      </c>
      <c r="AW155">
        <f t="shared" si="104"/>
        <v>0</v>
      </c>
      <c r="AX155">
        <f t="shared" si="105"/>
        <v>0</v>
      </c>
      <c r="AY155">
        <f t="shared" si="106"/>
        <v>0</v>
      </c>
      <c r="AZ155" t="s">
        <v>246</v>
      </c>
    </row>
    <row r="156" spans="1:52">
      <c r="A156">
        <v>155</v>
      </c>
      <c r="B156" s="14">
        <v>46180</v>
      </c>
      <c r="C156" t="s">
        <v>22</v>
      </c>
      <c r="D156" t="s">
        <v>4</v>
      </c>
      <c r="E156" t="s">
        <v>359</v>
      </c>
      <c r="F156" t="s">
        <v>16</v>
      </c>
      <c r="G156">
        <v>0</v>
      </c>
      <c r="H156">
        <v>2</v>
      </c>
      <c r="I156" t="s">
        <v>248</v>
      </c>
      <c r="J156" t="s">
        <v>248</v>
      </c>
      <c r="K156" t="s">
        <v>358</v>
      </c>
      <c r="L156" t="s">
        <v>357</v>
      </c>
      <c r="M156" t="s">
        <v>11</v>
      </c>
      <c r="N156" t="s">
        <v>198</v>
      </c>
      <c r="O156">
        <f t="shared" si="74"/>
        <v>1</v>
      </c>
      <c r="P156">
        <f t="shared" si="75"/>
        <v>0</v>
      </c>
      <c r="Q156">
        <f t="shared" si="76"/>
        <v>1</v>
      </c>
      <c r="R156">
        <f t="shared" si="77"/>
        <v>0</v>
      </c>
      <c r="S156">
        <f t="shared" si="78"/>
        <v>0</v>
      </c>
      <c r="T156">
        <f t="shared" si="79"/>
        <v>0</v>
      </c>
      <c r="U156">
        <f t="shared" si="80"/>
        <v>0</v>
      </c>
      <c r="V156">
        <f t="shared" si="81"/>
        <v>0</v>
      </c>
      <c r="W156">
        <f t="shared" si="82"/>
        <v>0</v>
      </c>
      <c r="X156">
        <f t="shared" si="83"/>
        <v>0</v>
      </c>
      <c r="Y156">
        <f t="shared" si="84"/>
        <v>0</v>
      </c>
      <c r="Z156">
        <f t="shared" si="85"/>
        <v>0</v>
      </c>
      <c r="AA156">
        <f t="shared" si="86"/>
        <v>0</v>
      </c>
      <c r="AB156">
        <f t="shared" si="87"/>
        <v>0</v>
      </c>
      <c r="AC156">
        <f t="shared" si="88"/>
        <v>0</v>
      </c>
      <c r="AD156">
        <f t="shared" si="89"/>
        <v>1</v>
      </c>
      <c r="AE156">
        <f t="shared" si="90"/>
        <v>0</v>
      </c>
      <c r="AF156">
        <f t="shared" si="91"/>
        <v>0</v>
      </c>
      <c r="AG156">
        <f t="shared" si="92"/>
        <v>0</v>
      </c>
      <c r="AH156">
        <f t="shared" si="93"/>
        <v>0</v>
      </c>
      <c r="AI156">
        <f t="shared" si="94"/>
        <v>0</v>
      </c>
      <c r="AJ156">
        <f t="shared" si="95"/>
        <v>0</v>
      </c>
      <c r="AK156">
        <f t="shared" si="96"/>
        <v>0</v>
      </c>
      <c r="AL156">
        <f t="shared" si="107"/>
        <v>0</v>
      </c>
      <c r="AM156">
        <f t="shared" si="108"/>
        <v>0</v>
      </c>
      <c r="AN156">
        <f t="shared" si="97"/>
        <v>0</v>
      </c>
      <c r="AO156">
        <f t="shared" si="98"/>
        <v>0</v>
      </c>
      <c r="AP156">
        <f t="shared" si="99"/>
        <v>0</v>
      </c>
      <c r="AQ156">
        <f t="shared" si="109"/>
        <v>0</v>
      </c>
      <c r="AR156">
        <f t="shared" si="110"/>
        <v>0</v>
      </c>
      <c r="AS156">
        <f t="shared" si="100"/>
        <v>0</v>
      </c>
      <c r="AT156">
        <f t="shared" si="101"/>
        <v>0</v>
      </c>
      <c r="AU156">
        <f t="shared" si="102"/>
        <v>0</v>
      </c>
      <c r="AV156">
        <f t="shared" si="103"/>
        <v>0</v>
      </c>
      <c r="AW156">
        <f t="shared" si="104"/>
        <v>0</v>
      </c>
      <c r="AX156">
        <f t="shared" si="105"/>
        <v>0</v>
      </c>
      <c r="AY156">
        <f t="shared" si="106"/>
        <v>0</v>
      </c>
      <c r="AZ156" t="s">
        <v>246</v>
      </c>
    </row>
    <row r="157" spans="1:52">
      <c r="A157">
        <v>156</v>
      </c>
      <c r="B157" s="14">
        <v>46180</v>
      </c>
      <c r="C157" t="s">
        <v>22</v>
      </c>
      <c r="D157" t="s">
        <v>8</v>
      </c>
      <c r="E157" t="s">
        <v>356</v>
      </c>
      <c r="F157" t="s">
        <v>3</v>
      </c>
      <c r="G157">
        <v>0</v>
      </c>
      <c r="H157">
        <v>2</v>
      </c>
      <c r="I157" t="s">
        <v>248</v>
      </c>
      <c r="J157" t="s">
        <v>248</v>
      </c>
      <c r="K157" t="s">
        <v>355</v>
      </c>
      <c r="L157" t="s">
        <v>354</v>
      </c>
      <c r="M157" t="s">
        <v>11</v>
      </c>
      <c r="N157" t="s">
        <v>198</v>
      </c>
      <c r="O157">
        <f t="shared" si="74"/>
        <v>1</v>
      </c>
      <c r="P157">
        <f t="shared" si="75"/>
        <v>0</v>
      </c>
      <c r="Q157">
        <f t="shared" si="76"/>
        <v>1</v>
      </c>
      <c r="R157">
        <f t="shared" si="77"/>
        <v>0</v>
      </c>
      <c r="S157">
        <f t="shared" si="78"/>
        <v>0</v>
      </c>
      <c r="T157">
        <f t="shared" si="79"/>
        <v>0</v>
      </c>
      <c r="U157">
        <f t="shared" si="80"/>
        <v>0</v>
      </c>
      <c r="V157">
        <f t="shared" si="81"/>
        <v>0</v>
      </c>
      <c r="W157">
        <f t="shared" si="82"/>
        <v>0</v>
      </c>
      <c r="X157">
        <f t="shared" si="83"/>
        <v>0</v>
      </c>
      <c r="Y157">
        <f t="shared" si="84"/>
        <v>0</v>
      </c>
      <c r="Z157">
        <f t="shared" si="85"/>
        <v>0</v>
      </c>
      <c r="AA157">
        <f t="shared" si="86"/>
        <v>1</v>
      </c>
      <c r="AB157">
        <f t="shared" si="87"/>
        <v>0</v>
      </c>
      <c r="AC157">
        <f t="shared" si="88"/>
        <v>0</v>
      </c>
      <c r="AD157">
        <f t="shared" si="89"/>
        <v>1</v>
      </c>
      <c r="AE157">
        <f t="shared" si="90"/>
        <v>0</v>
      </c>
      <c r="AF157">
        <f t="shared" si="91"/>
        <v>0</v>
      </c>
      <c r="AG157">
        <f t="shared" si="92"/>
        <v>0</v>
      </c>
      <c r="AH157">
        <f t="shared" si="93"/>
        <v>0</v>
      </c>
      <c r="AI157">
        <f t="shared" si="94"/>
        <v>0</v>
      </c>
      <c r="AJ157">
        <f t="shared" si="95"/>
        <v>0</v>
      </c>
      <c r="AK157">
        <f t="shared" si="96"/>
        <v>0</v>
      </c>
      <c r="AL157">
        <f t="shared" si="107"/>
        <v>1</v>
      </c>
      <c r="AM157">
        <f t="shared" si="108"/>
        <v>0</v>
      </c>
      <c r="AN157">
        <f t="shared" si="97"/>
        <v>0</v>
      </c>
      <c r="AO157">
        <f t="shared" si="98"/>
        <v>0</v>
      </c>
      <c r="AP157">
        <f t="shared" si="99"/>
        <v>0</v>
      </c>
      <c r="AQ157">
        <f t="shared" si="109"/>
        <v>0</v>
      </c>
      <c r="AR157">
        <f t="shared" si="110"/>
        <v>0</v>
      </c>
      <c r="AS157">
        <f t="shared" si="100"/>
        <v>0</v>
      </c>
      <c r="AT157">
        <f t="shared" si="101"/>
        <v>0</v>
      </c>
      <c r="AU157">
        <f t="shared" si="102"/>
        <v>0</v>
      </c>
      <c r="AV157">
        <f t="shared" si="103"/>
        <v>0</v>
      </c>
      <c r="AW157">
        <f t="shared" si="104"/>
        <v>0</v>
      </c>
      <c r="AX157">
        <f t="shared" si="105"/>
        <v>0</v>
      </c>
      <c r="AY157">
        <f t="shared" si="106"/>
        <v>0</v>
      </c>
      <c r="AZ157" t="s">
        <v>246</v>
      </c>
    </row>
    <row r="158" spans="1:52">
      <c r="A158">
        <v>157</v>
      </c>
      <c r="B158" s="14">
        <v>46180</v>
      </c>
      <c r="C158" t="s">
        <v>22</v>
      </c>
      <c r="D158" t="s">
        <v>8</v>
      </c>
      <c r="E158" t="s">
        <v>353</v>
      </c>
      <c r="F158" t="s">
        <v>13</v>
      </c>
      <c r="G158">
        <v>0</v>
      </c>
      <c r="H158">
        <v>2</v>
      </c>
      <c r="I158" t="s">
        <v>248</v>
      </c>
      <c r="J158" t="s">
        <v>248</v>
      </c>
      <c r="K158" t="s">
        <v>352</v>
      </c>
      <c r="L158" t="s">
        <v>351</v>
      </c>
      <c r="M158" t="s">
        <v>11</v>
      </c>
      <c r="N158" t="s">
        <v>206</v>
      </c>
      <c r="O158">
        <f t="shared" si="74"/>
        <v>1</v>
      </c>
      <c r="P158">
        <f t="shared" si="75"/>
        <v>0</v>
      </c>
      <c r="Q158">
        <f t="shared" si="76"/>
        <v>0</v>
      </c>
      <c r="R158">
        <f t="shared" si="77"/>
        <v>0</v>
      </c>
      <c r="S158">
        <f t="shared" si="78"/>
        <v>0</v>
      </c>
      <c r="T158">
        <f t="shared" si="79"/>
        <v>0</v>
      </c>
      <c r="U158">
        <f t="shared" si="80"/>
        <v>0</v>
      </c>
      <c r="V158">
        <f t="shared" si="81"/>
        <v>0</v>
      </c>
      <c r="W158">
        <f t="shared" si="82"/>
        <v>0</v>
      </c>
      <c r="X158">
        <f t="shared" si="83"/>
        <v>0</v>
      </c>
      <c r="Y158">
        <f t="shared" si="84"/>
        <v>0</v>
      </c>
      <c r="Z158">
        <f t="shared" si="85"/>
        <v>0</v>
      </c>
      <c r="AA158">
        <f t="shared" si="86"/>
        <v>1</v>
      </c>
      <c r="AB158">
        <f t="shared" si="87"/>
        <v>0</v>
      </c>
      <c r="AC158">
        <f t="shared" si="88"/>
        <v>0</v>
      </c>
      <c r="AD158">
        <f t="shared" si="89"/>
        <v>1</v>
      </c>
      <c r="AE158">
        <f t="shared" si="90"/>
        <v>1</v>
      </c>
      <c r="AF158">
        <f t="shared" si="91"/>
        <v>0</v>
      </c>
      <c r="AG158">
        <f t="shared" si="92"/>
        <v>0</v>
      </c>
      <c r="AH158">
        <f t="shared" si="93"/>
        <v>0</v>
      </c>
      <c r="AI158">
        <f t="shared" si="94"/>
        <v>0</v>
      </c>
      <c r="AJ158">
        <f t="shared" si="95"/>
        <v>0</v>
      </c>
      <c r="AK158">
        <f t="shared" si="96"/>
        <v>0</v>
      </c>
      <c r="AL158">
        <f t="shared" si="107"/>
        <v>0</v>
      </c>
      <c r="AM158">
        <f t="shared" si="108"/>
        <v>0</v>
      </c>
      <c r="AN158">
        <f t="shared" si="97"/>
        <v>0</v>
      </c>
      <c r="AO158">
        <f t="shared" si="98"/>
        <v>0</v>
      </c>
      <c r="AP158">
        <f t="shared" si="99"/>
        <v>1</v>
      </c>
      <c r="AQ158">
        <f t="shared" si="109"/>
        <v>0</v>
      </c>
      <c r="AR158">
        <f t="shared" si="110"/>
        <v>0</v>
      </c>
      <c r="AS158">
        <f t="shared" si="100"/>
        <v>0</v>
      </c>
      <c r="AT158">
        <f t="shared" si="101"/>
        <v>0</v>
      </c>
      <c r="AU158">
        <f t="shared" si="102"/>
        <v>0</v>
      </c>
      <c r="AV158">
        <f t="shared" si="103"/>
        <v>0</v>
      </c>
      <c r="AW158">
        <f t="shared" si="104"/>
        <v>0</v>
      </c>
      <c r="AX158">
        <f t="shared" si="105"/>
        <v>0</v>
      </c>
      <c r="AY158">
        <f t="shared" si="106"/>
        <v>0</v>
      </c>
      <c r="AZ158" t="s">
        <v>246</v>
      </c>
    </row>
    <row r="159" spans="1:52">
      <c r="A159">
        <v>158</v>
      </c>
      <c r="B159" s="14">
        <v>46180</v>
      </c>
      <c r="C159" t="s">
        <v>22</v>
      </c>
      <c r="D159" t="s">
        <v>4</v>
      </c>
      <c r="E159" t="s">
        <v>350</v>
      </c>
      <c r="F159" t="s">
        <v>13</v>
      </c>
      <c r="G159">
        <v>0</v>
      </c>
      <c r="H159">
        <v>2</v>
      </c>
      <c r="I159" t="s">
        <v>248</v>
      </c>
      <c r="J159" t="s">
        <v>248</v>
      </c>
      <c r="K159" t="s">
        <v>349</v>
      </c>
      <c r="L159" t="s">
        <v>191</v>
      </c>
      <c r="M159" t="s">
        <v>11</v>
      </c>
      <c r="N159" t="s">
        <v>198</v>
      </c>
      <c r="O159">
        <f t="shared" si="74"/>
        <v>0</v>
      </c>
      <c r="P159">
        <f t="shared" si="75"/>
        <v>0</v>
      </c>
      <c r="Q159">
        <f t="shared" si="76"/>
        <v>0</v>
      </c>
      <c r="R159">
        <f t="shared" si="77"/>
        <v>0</v>
      </c>
      <c r="S159">
        <f t="shared" si="78"/>
        <v>0</v>
      </c>
      <c r="T159">
        <f t="shared" si="79"/>
        <v>0</v>
      </c>
      <c r="U159">
        <f t="shared" si="80"/>
        <v>0</v>
      </c>
      <c r="V159">
        <f t="shared" si="81"/>
        <v>0</v>
      </c>
      <c r="W159">
        <f t="shared" si="82"/>
        <v>0</v>
      </c>
      <c r="X159">
        <f t="shared" si="83"/>
        <v>0</v>
      </c>
      <c r="Y159">
        <f t="shared" si="84"/>
        <v>0</v>
      </c>
      <c r="Z159">
        <f t="shared" si="85"/>
        <v>0</v>
      </c>
      <c r="AA159">
        <f t="shared" si="86"/>
        <v>0</v>
      </c>
      <c r="AB159">
        <f t="shared" si="87"/>
        <v>0</v>
      </c>
      <c r="AC159">
        <f t="shared" si="88"/>
        <v>0</v>
      </c>
      <c r="AD159">
        <f t="shared" si="89"/>
        <v>0</v>
      </c>
      <c r="AE159">
        <f t="shared" si="90"/>
        <v>0</v>
      </c>
      <c r="AF159">
        <f t="shared" si="91"/>
        <v>0</v>
      </c>
      <c r="AG159">
        <f t="shared" si="92"/>
        <v>0</v>
      </c>
      <c r="AH159">
        <f t="shared" si="93"/>
        <v>1</v>
      </c>
      <c r="AI159">
        <f t="shared" si="94"/>
        <v>1</v>
      </c>
      <c r="AJ159">
        <f t="shared" si="95"/>
        <v>0</v>
      </c>
      <c r="AK159">
        <f t="shared" si="96"/>
        <v>0</v>
      </c>
      <c r="AL159">
        <f t="shared" si="107"/>
        <v>0</v>
      </c>
      <c r="AM159">
        <f t="shared" si="108"/>
        <v>0</v>
      </c>
      <c r="AN159">
        <f t="shared" si="97"/>
        <v>0</v>
      </c>
      <c r="AO159">
        <f t="shared" si="98"/>
        <v>0</v>
      </c>
      <c r="AP159">
        <f t="shared" si="99"/>
        <v>0</v>
      </c>
      <c r="AQ159">
        <f t="shared" si="109"/>
        <v>0</v>
      </c>
      <c r="AR159">
        <f t="shared" si="110"/>
        <v>0</v>
      </c>
      <c r="AS159">
        <f t="shared" si="100"/>
        <v>0</v>
      </c>
      <c r="AT159">
        <f t="shared" si="101"/>
        <v>1</v>
      </c>
      <c r="AU159">
        <f t="shared" si="102"/>
        <v>0</v>
      </c>
      <c r="AV159">
        <f t="shared" si="103"/>
        <v>0</v>
      </c>
      <c r="AW159">
        <f t="shared" si="104"/>
        <v>0</v>
      </c>
      <c r="AX159">
        <f t="shared" si="105"/>
        <v>0</v>
      </c>
      <c r="AY159">
        <f t="shared" si="106"/>
        <v>0</v>
      </c>
      <c r="AZ159" t="s">
        <v>246</v>
      </c>
    </row>
    <row r="160" spans="1:52">
      <c r="A160">
        <v>159</v>
      </c>
      <c r="B160" s="14">
        <v>46180</v>
      </c>
      <c r="C160" t="s">
        <v>22</v>
      </c>
      <c r="D160" t="s">
        <v>8</v>
      </c>
      <c r="E160" t="s">
        <v>348</v>
      </c>
      <c r="F160" t="s">
        <v>17</v>
      </c>
      <c r="G160">
        <v>0</v>
      </c>
      <c r="H160">
        <v>2</v>
      </c>
      <c r="I160" t="s">
        <v>248</v>
      </c>
      <c r="J160" t="s">
        <v>248</v>
      </c>
      <c r="K160" t="s">
        <v>347</v>
      </c>
      <c r="L160" t="s">
        <v>346</v>
      </c>
      <c r="M160" t="s">
        <v>11</v>
      </c>
      <c r="N160" t="s">
        <v>206</v>
      </c>
      <c r="O160">
        <f t="shared" si="74"/>
        <v>1</v>
      </c>
      <c r="P160">
        <f t="shared" si="75"/>
        <v>0</v>
      </c>
      <c r="Q160">
        <f t="shared" si="76"/>
        <v>0</v>
      </c>
      <c r="R160">
        <f t="shared" si="77"/>
        <v>0</v>
      </c>
      <c r="S160">
        <f t="shared" si="78"/>
        <v>0</v>
      </c>
      <c r="T160">
        <f t="shared" si="79"/>
        <v>0</v>
      </c>
      <c r="U160">
        <f t="shared" si="80"/>
        <v>1</v>
      </c>
      <c r="V160">
        <f t="shared" si="81"/>
        <v>0</v>
      </c>
      <c r="W160">
        <f t="shared" si="82"/>
        <v>1</v>
      </c>
      <c r="X160">
        <f t="shared" si="83"/>
        <v>0</v>
      </c>
      <c r="Y160">
        <f t="shared" si="84"/>
        <v>0</v>
      </c>
      <c r="Z160">
        <f t="shared" si="85"/>
        <v>0</v>
      </c>
      <c r="AA160">
        <f t="shared" si="86"/>
        <v>1</v>
      </c>
      <c r="AB160">
        <f t="shared" si="87"/>
        <v>1</v>
      </c>
      <c r="AC160">
        <f t="shared" si="88"/>
        <v>1</v>
      </c>
      <c r="AD160">
        <f t="shared" si="89"/>
        <v>0</v>
      </c>
      <c r="AE160">
        <f t="shared" si="90"/>
        <v>0</v>
      </c>
      <c r="AF160">
        <f t="shared" si="91"/>
        <v>0</v>
      </c>
      <c r="AG160">
        <f t="shared" si="92"/>
        <v>0</v>
      </c>
      <c r="AH160">
        <f t="shared" si="93"/>
        <v>0</v>
      </c>
      <c r="AI160">
        <f t="shared" si="94"/>
        <v>0</v>
      </c>
      <c r="AJ160">
        <f t="shared" si="95"/>
        <v>0</v>
      </c>
      <c r="AK160">
        <f t="shared" si="96"/>
        <v>0</v>
      </c>
      <c r="AL160">
        <f t="shared" si="107"/>
        <v>0</v>
      </c>
      <c r="AM160">
        <f t="shared" si="108"/>
        <v>0</v>
      </c>
      <c r="AN160">
        <f t="shared" si="97"/>
        <v>0</v>
      </c>
      <c r="AO160">
        <f t="shared" si="98"/>
        <v>0</v>
      </c>
      <c r="AP160">
        <f t="shared" si="99"/>
        <v>0</v>
      </c>
      <c r="AQ160">
        <f t="shared" si="109"/>
        <v>0</v>
      </c>
      <c r="AR160">
        <f t="shared" si="110"/>
        <v>0</v>
      </c>
      <c r="AS160">
        <f t="shared" si="100"/>
        <v>0</v>
      </c>
      <c r="AT160">
        <f t="shared" si="101"/>
        <v>0</v>
      </c>
      <c r="AU160">
        <f t="shared" si="102"/>
        <v>0</v>
      </c>
      <c r="AV160">
        <f t="shared" si="103"/>
        <v>0</v>
      </c>
      <c r="AW160">
        <f t="shared" si="104"/>
        <v>0</v>
      </c>
      <c r="AX160">
        <f t="shared" si="105"/>
        <v>0</v>
      </c>
      <c r="AY160">
        <f t="shared" si="106"/>
        <v>0</v>
      </c>
      <c r="AZ160" t="s">
        <v>246</v>
      </c>
    </row>
    <row r="161" spans="1:52">
      <c r="A161">
        <v>160</v>
      </c>
      <c r="B161" s="14">
        <v>46180</v>
      </c>
      <c r="C161" t="s">
        <v>22</v>
      </c>
      <c r="D161" t="s">
        <v>8</v>
      </c>
      <c r="E161" t="s">
        <v>345</v>
      </c>
      <c r="F161" t="s">
        <v>3</v>
      </c>
      <c r="G161">
        <v>0</v>
      </c>
      <c r="H161">
        <v>2</v>
      </c>
      <c r="I161" t="s">
        <v>248</v>
      </c>
      <c r="J161" t="s">
        <v>248</v>
      </c>
      <c r="K161" t="s">
        <v>344</v>
      </c>
      <c r="L161" t="s">
        <v>343</v>
      </c>
      <c r="M161" t="s">
        <v>11</v>
      </c>
      <c r="N161" t="s">
        <v>206</v>
      </c>
      <c r="O161">
        <f t="shared" si="74"/>
        <v>0</v>
      </c>
      <c r="P161">
        <f t="shared" si="75"/>
        <v>0</v>
      </c>
      <c r="Q161">
        <f t="shared" si="76"/>
        <v>0</v>
      </c>
      <c r="R161">
        <f t="shared" si="77"/>
        <v>0</v>
      </c>
      <c r="S161">
        <f t="shared" si="78"/>
        <v>0</v>
      </c>
      <c r="T161">
        <f t="shared" si="79"/>
        <v>0</v>
      </c>
      <c r="U161">
        <f t="shared" si="80"/>
        <v>0</v>
      </c>
      <c r="V161">
        <f t="shared" si="81"/>
        <v>0</v>
      </c>
      <c r="W161">
        <f t="shared" si="82"/>
        <v>0</v>
      </c>
      <c r="X161">
        <f t="shared" si="83"/>
        <v>0</v>
      </c>
      <c r="Y161">
        <f t="shared" si="84"/>
        <v>0</v>
      </c>
      <c r="Z161">
        <f t="shared" si="85"/>
        <v>0</v>
      </c>
      <c r="AA161">
        <f t="shared" si="86"/>
        <v>1</v>
      </c>
      <c r="AB161">
        <f t="shared" si="87"/>
        <v>0</v>
      </c>
      <c r="AC161">
        <f t="shared" si="88"/>
        <v>1</v>
      </c>
      <c r="AD161">
        <f t="shared" si="89"/>
        <v>0</v>
      </c>
      <c r="AE161">
        <f t="shared" si="90"/>
        <v>0</v>
      </c>
      <c r="AF161">
        <f t="shared" si="91"/>
        <v>0</v>
      </c>
      <c r="AG161">
        <f t="shared" si="92"/>
        <v>0</v>
      </c>
      <c r="AH161">
        <f t="shared" si="93"/>
        <v>0</v>
      </c>
      <c r="AI161">
        <f t="shared" si="94"/>
        <v>0</v>
      </c>
      <c r="AJ161">
        <f t="shared" si="95"/>
        <v>0</v>
      </c>
      <c r="AK161">
        <f t="shared" si="96"/>
        <v>0</v>
      </c>
      <c r="AL161">
        <f t="shared" si="107"/>
        <v>0</v>
      </c>
      <c r="AM161">
        <f t="shared" si="108"/>
        <v>0</v>
      </c>
      <c r="AN161">
        <f t="shared" si="97"/>
        <v>0</v>
      </c>
      <c r="AO161">
        <f t="shared" si="98"/>
        <v>0</v>
      </c>
      <c r="AP161">
        <f t="shared" si="99"/>
        <v>0</v>
      </c>
      <c r="AQ161">
        <f t="shared" si="109"/>
        <v>0</v>
      </c>
      <c r="AR161">
        <f t="shared" si="110"/>
        <v>0</v>
      </c>
      <c r="AS161">
        <f t="shared" si="100"/>
        <v>0</v>
      </c>
      <c r="AT161">
        <f t="shared" si="101"/>
        <v>0</v>
      </c>
      <c r="AU161">
        <f t="shared" si="102"/>
        <v>0</v>
      </c>
      <c r="AV161">
        <f t="shared" si="103"/>
        <v>0</v>
      </c>
      <c r="AW161">
        <f t="shared" si="104"/>
        <v>0</v>
      </c>
      <c r="AX161">
        <f t="shared" si="105"/>
        <v>0</v>
      </c>
      <c r="AY161">
        <f t="shared" si="106"/>
        <v>0</v>
      </c>
      <c r="AZ161" t="s">
        <v>246</v>
      </c>
    </row>
    <row r="162" spans="1:52">
      <c r="A162">
        <v>161</v>
      </c>
      <c r="B162" s="14">
        <v>46180</v>
      </c>
      <c r="C162" t="s">
        <v>22</v>
      </c>
      <c r="D162" t="s">
        <v>8</v>
      </c>
      <c r="E162" t="s">
        <v>342</v>
      </c>
      <c r="F162" t="s">
        <v>14</v>
      </c>
      <c r="G162">
        <v>0</v>
      </c>
      <c r="H162">
        <v>2</v>
      </c>
      <c r="I162" t="s">
        <v>248</v>
      </c>
      <c r="J162" t="s">
        <v>248</v>
      </c>
      <c r="K162" t="s">
        <v>341</v>
      </c>
      <c r="L162" t="s">
        <v>191</v>
      </c>
      <c r="M162" t="s">
        <v>11</v>
      </c>
      <c r="N162" t="s">
        <v>206</v>
      </c>
      <c r="O162">
        <f t="shared" si="74"/>
        <v>1</v>
      </c>
      <c r="P162">
        <f t="shared" si="75"/>
        <v>0</v>
      </c>
      <c r="Q162">
        <f t="shared" si="76"/>
        <v>0</v>
      </c>
      <c r="R162">
        <f t="shared" si="77"/>
        <v>0</v>
      </c>
      <c r="S162">
        <f t="shared" si="78"/>
        <v>0</v>
      </c>
      <c r="T162">
        <f t="shared" si="79"/>
        <v>0</v>
      </c>
      <c r="U162">
        <f t="shared" si="80"/>
        <v>0</v>
      </c>
      <c r="V162">
        <f t="shared" si="81"/>
        <v>0</v>
      </c>
      <c r="W162">
        <f t="shared" si="82"/>
        <v>1</v>
      </c>
      <c r="X162">
        <f t="shared" si="83"/>
        <v>0</v>
      </c>
      <c r="Y162">
        <f t="shared" si="84"/>
        <v>0</v>
      </c>
      <c r="Z162">
        <f t="shared" si="85"/>
        <v>0</v>
      </c>
      <c r="AA162">
        <f t="shared" si="86"/>
        <v>0</v>
      </c>
      <c r="AB162">
        <f t="shared" si="87"/>
        <v>0</v>
      </c>
      <c r="AC162">
        <f t="shared" si="88"/>
        <v>0</v>
      </c>
      <c r="AD162">
        <f t="shared" si="89"/>
        <v>0</v>
      </c>
      <c r="AE162">
        <f t="shared" si="90"/>
        <v>0</v>
      </c>
      <c r="AF162">
        <f t="shared" si="91"/>
        <v>0</v>
      </c>
      <c r="AG162">
        <f t="shared" si="92"/>
        <v>0</v>
      </c>
      <c r="AH162">
        <f t="shared" si="93"/>
        <v>0</v>
      </c>
      <c r="AI162">
        <f t="shared" si="94"/>
        <v>0</v>
      </c>
      <c r="AJ162">
        <f t="shared" si="95"/>
        <v>0</v>
      </c>
      <c r="AK162">
        <f t="shared" si="96"/>
        <v>0</v>
      </c>
      <c r="AL162">
        <f t="shared" si="107"/>
        <v>1</v>
      </c>
      <c r="AM162">
        <f t="shared" si="108"/>
        <v>0</v>
      </c>
      <c r="AN162">
        <f t="shared" si="97"/>
        <v>0</v>
      </c>
      <c r="AO162">
        <f t="shared" si="98"/>
        <v>0</v>
      </c>
      <c r="AP162">
        <f t="shared" si="99"/>
        <v>0</v>
      </c>
      <c r="AQ162">
        <f t="shared" si="109"/>
        <v>0</v>
      </c>
      <c r="AR162">
        <f t="shared" si="110"/>
        <v>0</v>
      </c>
      <c r="AS162">
        <f t="shared" si="100"/>
        <v>0</v>
      </c>
      <c r="AT162">
        <f t="shared" si="101"/>
        <v>0</v>
      </c>
      <c r="AU162">
        <f t="shared" si="102"/>
        <v>0</v>
      </c>
      <c r="AV162">
        <f t="shared" si="103"/>
        <v>0</v>
      </c>
      <c r="AW162">
        <f t="shared" si="104"/>
        <v>0</v>
      </c>
      <c r="AX162">
        <f t="shared" si="105"/>
        <v>0</v>
      </c>
      <c r="AY162">
        <f t="shared" si="106"/>
        <v>0</v>
      </c>
      <c r="AZ162" t="s">
        <v>246</v>
      </c>
    </row>
    <row r="163" spans="1:52">
      <c r="A163">
        <v>162</v>
      </c>
      <c r="B163" s="14">
        <v>46180</v>
      </c>
      <c r="C163" t="s">
        <v>22</v>
      </c>
      <c r="D163" t="s">
        <v>8</v>
      </c>
      <c r="E163" t="s">
        <v>340</v>
      </c>
      <c r="F163" t="s">
        <v>5</v>
      </c>
      <c r="G163">
        <v>0</v>
      </c>
      <c r="H163">
        <v>2</v>
      </c>
      <c r="I163" t="s">
        <v>248</v>
      </c>
      <c r="J163" t="s">
        <v>248</v>
      </c>
      <c r="K163" t="s">
        <v>339</v>
      </c>
      <c r="L163" t="s">
        <v>191</v>
      </c>
      <c r="M163" t="s">
        <v>11</v>
      </c>
      <c r="N163" t="s">
        <v>198</v>
      </c>
      <c r="O163">
        <f t="shared" si="74"/>
        <v>0</v>
      </c>
      <c r="P163">
        <f t="shared" si="75"/>
        <v>1</v>
      </c>
      <c r="Q163">
        <f t="shared" si="76"/>
        <v>0</v>
      </c>
      <c r="R163">
        <f t="shared" si="77"/>
        <v>0</v>
      </c>
      <c r="S163">
        <f t="shared" si="78"/>
        <v>0</v>
      </c>
      <c r="T163">
        <f t="shared" si="79"/>
        <v>0</v>
      </c>
      <c r="U163">
        <f t="shared" si="80"/>
        <v>1</v>
      </c>
      <c r="V163">
        <f t="shared" si="81"/>
        <v>0</v>
      </c>
      <c r="W163">
        <f t="shared" si="82"/>
        <v>0</v>
      </c>
      <c r="X163">
        <f t="shared" si="83"/>
        <v>0</v>
      </c>
      <c r="Y163">
        <f t="shared" si="84"/>
        <v>0</v>
      </c>
      <c r="Z163">
        <f t="shared" si="85"/>
        <v>0</v>
      </c>
      <c r="AA163">
        <f t="shared" si="86"/>
        <v>0</v>
      </c>
      <c r="AB163">
        <f t="shared" si="87"/>
        <v>0</v>
      </c>
      <c r="AC163">
        <f t="shared" si="88"/>
        <v>1</v>
      </c>
      <c r="AD163">
        <f t="shared" si="89"/>
        <v>0</v>
      </c>
      <c r="AE163">
        <f t="shared" si="90"/>
        <v>0</v>
      </c>
      <c r="AF163">
        <f t="shared" si="91"/>
        <v>0</v>
      </c>
      <c r="AG163">
        <f t="shared" si="92"/>
        <v>1</v>
      </c>
      <c r="AH163">
        <f t="shared" si="93"/>
        <v>0</v>
      </c>
      <c r="AI163">
        <f t="shared" si="94"/>
        <v>0</v>
      </c>
      <c r="AJ163">
        <f t="shared" si="95"/>
        <v>1</v>
      </c>
      <c r="AK163">
        <f t="shared" si="96"/>
        <v>0</v>
      </c>
      <c r="AL163">
        <f t="shared" si="107"/>
        <v>0</v>
      </c>
      <c r="AM163">
        <f t="shared" si="108"/>
        <v>0</v>
      </c>
      <c r="AN163">
        <f t="shared" si="97"/>
        <v>0</v>
      </c>
      <c r="AO163">
        <f t="shared" si="98"/>
        <v>0</v>
      </c>
      <c r="AP163">
        <f t="shared" si="99"/>
        <v>0</v>
      </c>
      <c r="AQ163">
        <f t="shared" si="109"/>
        <v>0</v>
      </c>
      <c r="AR163">
        <f t="shared" si="110"/>
        <v>0</v>
      </c>
      <c r="AS163">
        <f t="shared" si="100"/>
        <v>0</v>
      </c>
      <c r="AT163">
        <f t="shared" si="101"/>
        <v>0</v>
      </c>
      <c r="AU163">
        <f t="shared" si="102"/>
        <v>0</v>
      </c>
      <c r="AV163">
        <f t="shared" si="103"/>
        <v>0</v>
      </c>
      <c r="AW163">
        <f t="shared" si="104"/>
        <v>0</v>
      </c>
      <c r="AX163">
        <f t="shared" si="105"/>
        <v>0</v>
      </c>
      <c r="AY163">
        <f t="shared" si="106"/>
        <v>0</v>
      </c>
      <c r="AZ163" t="s">
        <v>246</v>
      </c>
    </row>
    <row r="164" spans="1:52">
      <c r="A164">
        <v>163</v>
      </c>
      <c r="B164" s="14">
        <v>46180</v>
      </c>
      <c r="C164" t="s">
        <v>22</v>
      </c>
      <c r="D164" t="s">
        <v>8</v>
      </c>
      <c r="E164" t="s">
        <v>338</v>
      </c>
      <c r="F164" t="s">
        <v>6</v>
      </c>
      <c r="G164">
        <v>0</v>
      </c>
      <c r="H164">
        <v>2</v>
      </c>
      <c r="I164" t="s">
        <v>248</v>
      </c>
      <c r="J164" t="s">
        <v>248</v>
      </c>
      <c r="K164" t="s">
        <v>337</v>
      </c>
      <c r="L164" t="s">
        <v>191</v>
      </c>
      <c r="M164" t="s">
        <v>11</v>
      </c>
      <c r="N164" t="s">
        <v>198</v>
      </c>
      <c r="O164">
        <f t="shared" si="74"/>
        <v>1</v>
      </c>
      <c r="P164">
        <f t="shared" si="75"/>
        <v>0</v>
      </c>
      <c r="Q164">
        <f t="shared" si="76"/>
        <v>1</v>
      </c>
      <c r="R164">
        <f t="shared" si="77"/>
        <v>0</v>
      </c>
      <c r="S164">
        <f t="shared" si="78"/>
        <v>0</v>
      </c>
      <c r="T164">
        <f t="shared" si="79"/>
        <v>0</v>
      </c>
      <c r="U164">
        <f t="shared" si="80"/>
        <v>1</v>
      </c>
      <c r="V164">
        <f t="shared" si="81"/>
        <v>0</v>
      </c>
      <c r="W164">
        <f t="shared" si="82"/>
        <v>0</v>
      </c>
      <c r="X164">
        <f t="shared" si="83"/>
        <v>0</v>
      </c>
      <c r="Y164">
        <f t="shared" si="84"/>
        <v>0</v>
      </c>
      <c r="Z164">
        <f t="shared" si="85"/>
        <v>0</v>
      </c>
      <c r="AA164">
        <f t="shared" si="86"/>
        <v>0</v>
      </c>
      <c r="AB164">
        <f t="shared" si="87"/>
        <v>0</v>
      </c>
      <c r="AC164">
        <f t="shared" si="88"/>
        <v>0</v>
      </c>
      <c r="AD164">
        <f t="shared" si="89"/>
        <v>0</v>
      </c>
      <c r="AE164">
        <f t="shared" si="90"/>
        <v>1</v>
      </c>
      <c r="AF164">
        <f t="shared" si="91"/>
        <v>0</v>
      </c>
      <c r="AG164">
        <f t="shared" si="92"/>
        <v>0</v>
      </c>
      <c r="AH164">
        <f t="shared" si="93"/>
        <v>0</v>
      </c>
      <c r="AI164">
        <f t="shared" si="94"/>
        <v>0</v>
      </c>
      <c r="AJ164">
        <f t="shared" si="95"/>
        <v>0</v>
      </c>
      <c r="AK164">
        <f t="shared" si="96"/>
        <v>0</v>
      </c>
      <c r="AL164">
        <f t="shared" si="107"/>
        <v>0</v>
      </c>
      <c r="AM164">
        <f t="shared" si="108"/>
        <v>0</v>
      </c>
      <c r="AN164">
        <f t="shared" si="97"/>
        <v>0</v>
      </c>
      <c r="AO164">
        <f t="shared" si="98"/>
        <v>0</v>
      </c>
      <c r="AP164">
        <f t="shared" si="99"/>
        <v>0</v>
      </c>
      <c r="AQ164">
        <f t="shared" si="109"/>
        <v>0</v>
      </c>
      <c r="AR164">
        <f t="shared" si="110"/>
        <v>0</v>
      </c>
      <c r="AS164">
        <f t="shared" si="100"/>
        <v>0</v>
      </c>
      <c r="AT164">
        <f t="shared" si="101"/>
        <v>0</v>
      </c>
      <c r="AU164">
        <f t="shared" si="102"/>
        <v>0</v>
      </c>
      <c r="AV164">
        <f t="shared" si="103"/>
        <v>0</v>
      </c>
      <c r="AW164">
        <f t="shared" si="104"/>
        <v>0</v>
      </c>
      <c r="AX164">
        <f t="shared" si="105"/>
        <v>0</v>
      </c>
      <c r="AY164">
        <f t="shared" si="106"/>
        <v>0</v>
      </c>
      <c r="AZ164" t="s">
        <v>246</v>
      </c>
    </row>
    <row r="165" spans="1:52">
      <c r="A165">
        <v>164</v>
      </c>
      <c r="B165" s="14">
        <v>46180</v>
      </c>
      <c r="C165" t="s">
        <v>22</v>
      </c>
      <c r="D165" t="s">
        <v>4</v>
      </c>
      <c r="E165" t="s">
        <v>336</v>
      </c>
      <c r="F165" t="s">
        <v>13</v>
      </c>
      <c r="G165">
        <v>0</v>
      </c>
      <c r="H165">
        <v>2</v>
      </c>
      <c r="I165" t="s">
        <v>248</v>
      </c>
      <c r="J165" t="s">
        <v>248</v>
      </c>
      <c r="K165" t="s">
        <v>335</v>
      </c>
      <c r="L165" t="s">
        <v>191</v>
      </c>
      <c r="M165" t="s">
        <v>11</v>
      </c>
      <c r="N165" t="s">
        <v>190</v>
      </c>
      <c r="O165">
        <f t="shared" si="74"/>
        <v>0</v>
      </c>
      <c r="P165">
        <f t="shared" si="75"/>
        <v>0</v>
      </c>
      <c r="Q165">
        <f t="shared" si="76"/>
        <v>0</v>
      </c>
      <c r="R165">
        <f t="shared" si="77"/>
        <v>0</v>
      </c>
      <c r="S165">
        <f t="shared" si="78"/>
        <v>0</v>
      </c>
      <c r="T165">
        <f t="shared" si="79"/>
        <v>0</v>
      </c>
      <c r="U165">
        <f t="shared" si="80"/>
        <v>0</v>
      </c>
      <c r="V165">
        <f t="shared" si="81"/>
        <v>0</v>
      </c>
      <c r="W165">
        <f t="shared" si="82"/>
        <v>0</v>
      </c>
      <c r="X165">
        <f t="shared" si="83"/>
        <v>0</v>
      </c>
      <c r="Y165">
        <f t="shared" si="84"/>
        <v>0</v>
      </c>
      <c r="Z165">
        <f t="shared" si="85"/>
        <v>0</v>
      </c>
      <c r="AA165">
        <f t="shared" si="86"/>
        <v>0</v>
      </c>
      <c r="AB165">
        <f t="shared" si="87"/>
        <v>0</v>
      </c>
      <c r="AC165">
        <f t="shared" si="88"/>
        <v>0</v>
      </c>
      <c r="AD165">
        <f t="shared" si="89"/>
        <v>0</v>
      </c>
      <c r="AE165">
        <f t="shared" si="90"/>
        <v>0</v>
      </c>
      <c r="AF165">
        <f t="shared" si="91"/>
        <v>0</v>
      </c>
      <c r="AG165">
        <f t="shared" si="92"/>
        <v>0</v>
      </c>
      <c r="AH165">
        <f t="shared" si="93"/>
        <v>0</v>
      </c>
      <c r="AI165">
        <f t="shared" si="94"/>
        <v>0</v>
      </c>
      <c r="AJ165">
        <f t="shared" si="95"/>
        <v>0</v>
      </c>
      <c r="AK165">
        <f t="shared" si="96"/>
        <v>0</v>
      </c>
      <c r="AL165">
        <f t="shared" si="107"/>
        <v>0</v>
      </c>
      <c r="AM165">
        <f t="shared" si="108"/>
        <v>0</v>
      </c>
      <c r="AN165">
        <f t="shared" si="97"/>
        <v>0</v>
      </c>
      <c r="AO165">
        <f t="shared" si="98"/>
        <v>0</v>
      </c>
      <c r="AP165">
        <f t="shared" si="99"/>
        <v>0</v>
      </c>
      <c r="AQ165">
        <f t="shared" si="109"/>
        <v>0</v>
      </c>
      <c r="AR165">
        <f t="shared" si="110"/>
        <v>0</v>
      </c>
      <c r="AS165">
        <f t="shared" si="100"/>
        <v>0</v>
      </c>
      <c r="AT165">
        <f t="shared" si="101"/>
        <v>0</v>
      </c>
      <c r="AU165">
        <f t="shared" si="102"/>
        <v>0</v>
      </c>
      <c r="AV165">
        <f t="shared" si="103"/>
        <v>0</v>
      </c>
      <c r="AW165">
        <f t="shared" si="104"/>
        <v>0</v>
      </c>
      <c r="AX165">
        <f t="shared" si="105"/>
        <v>0</v>
      </c>
      <c r="AY165">
        <f t="shared" si="106"/>
        <v>0</v>
      </c>
      <c r="AZ165" t="s">
        <v>246</v>
      </c>
    </row>
    <row r="166" spans="1:52">
      <c r="A166">
        <v>165</v>
      </c>
      <c r="B166" s="14">
        <v>46180</v>
      </c>
      <c r="C166" t="s">
        <v>22</v>
      </c>
      <c r="D166" t="s">
        <v>8</v>
      </c>
      <c r="E166" t="s">
        <v>334</v>
      </c>
      <c r="F166" t="s">
        <v>12</v>
      </c>
      <c r="G166">
        <v>0</v>
      </c>
      <c r="H166">
        <v>2</v>
      </c>
      <c r="I166" t="s">
        <v>248</v>
      </c>
      <c r="J166" t="s">
        <v>248</v>
      </c>
      <c r="K166" t="s">
        <v>333</v>
      </c>
      <c r="L166" t="s">
        <v>191</v>
      </c>
      <c r="M166" t="s">
        <v>11</v>
      </c>
      <c r="N166" t="s">
        <v>190</v>
      </c>
      <c r="O166">
        <f t="shared" si="74"/>
        <v>1</v>
      </c>
      <c r="P166">
        <f t="shared" si="75"/>
        <v>0</v>
      </c>
      <c r="Q166">
        <f t="shared" si="76"/>
        <v>0</v>
      </c>
      <c r="R166">
        <f t="shared" si="77"/>
        <v>0</v>
      </c>
      <c r="S166">
        <f t="shared" si="78"/>
        <v>0</v>
      </c>
      <c r="T166">
        <f t="shared" si="79"/>
        <v>0</v>
      </c>
      <c r="U166">
        <f t="shared" si="80"/>
        <v>0</v>
      </c>
      <c r="V166">
        <f t="shared" si="81"/>
        <v>0</v>
      </c>
      <c r="W166">
        <f t="shared" si="82"/>
        <v>0</v>
      </c>
      <c r="X166">
        <f t="shared" si="83"/>
        <v>0</v>
      </c>
      <c r="Y166">
        <f t="shared" si="84"/>
        <v>0</v>
      </c>
      <c r="Z166">
        <f t="shared" si="85"/>
        <v>0</v>
      </c>
      <c r="AA166">
        <f t="shared" si="86"/>
        <v>0</v>
      </c>
      <c r="AB166">
        <f t="shared" si="87"/>
        <v>0</v>
      </c>
      <c r="AC166">
        <f t="shared" si="88"/>
        <v>1</v>
      </c>
      <c r="AD166">
        <f t="shared" si="89"/>
        <v>0</v>
      </c>
      <c r="AE166">
        <f t="shared" si="90"/>
        <v>0</v>
      </c>
      <c r="AF166">
        <f t="shared" si="91"/>
        <v>0</v>
      </c>
      <c r="AG166">
        <f t="shared" si="92"/>
        <v>1</v>
      </c>
      <c r="AH166">
        <f t="shared" si="93"/>
        <v>0</v>
      </c>
      <c r="AI166">
        <f t="shared" si="94"/>
        <v>0</v>
      </c>
      <c r="AJ166">
        <f t="shared" si="95"/>
        <v>0</v>
      </c>
      <c r="AK166">
        <f t="shared" si="96"/>
        <v>0</v>
      </c>
      <c r="AL166">
        <f t="shared" si="107"/>
        <v>0</v>
      </c>
      <c r="AM166">
        <f t="shared" si="108"/>
        <v>0</v>
      </c>
      <c r="AN166">
        <f t="shared" si="97"/>
        <v>0</v>
      </c>
      <c r="AO166">
        <f t="shared" si="98"/>
        <v>0</v>
      </c>
      <c r="AP166">
        <f t="shared" si="99"/>
        <v>0</v>
      </c>
      <c r="AQ166">
        <f t="shared" si="109"/>
        <v>0</v>
      </c>
      <c r="AR166">
        <f t="shared" si="110"/>
        <v>0</v>
      </c>
      <c r="AS166">
        <f t="shared" si="100"/>
        <v>0</v>
      </c>
      <c r="AT166">
        <f t="shared" si="101"/>
        <v>0</v>
      </c>
      <c r="AU166">
        <f t="shared" si="102"/>
        <v>0</v>
      </c>
      <c r="AV166">
        <f t="shared" si="103"/>
        <v>0</v>
      </c>
      <c r="AW166">
        <f t="shared" si="104"/>
        <v>0</v>
      </c>
      <c r="AX166">
        <f t="shared" si="105"/>
        <v>0</v>
      </c>
      <c r="AY166">
        <f t="shared" si="106"/>
        <v>0</v>
      </c>
      <c r="AZ166" t="s">
        <v>246</v>
      </c>
    </row>
    <row r="167" spans="1:52" ht="28.8">
      <c r="A167">
        <v>166</v>
      </c>
      <c r="B167" s="14">
        <v>46180</v>
      </c>
      <c r="C167" t="s">
        <v>22</v>
      </c>
      <c r="D167" t="s">
        <v>9</v>
      </c>
      <c r="E167" s="2" t="s">
        <v>332</v>
      </c>
      <c r="F167" t="s">
        <v>6</v>
      </c>
      <c r="G167">
        <v>3</v>
      </c>
      <c r="H167">
        <v>6</v>
      </c>
      <c r="I167" t="s">
        <v>248</v>
      </c>
      <c r="J167" t="s">
        <v>248</v>
      </c>
      <c r="K167" t="s">
        <v>331</v>
      </c>
      <c r="L167" t="s">
        <v>191</v>
      </c>
      <c r="M167" t="s">
        <v>11</v>
      </c>
      <c r="N167" t="s">
        <v>190</v>
      </c>
      <c r="O167">
        <f t="shared" si="74"/>
        <v>1</v>
      </c>
      <c r="P167">
        <f t="shared" si="75"/>
        <v>1</v>
      </c>
      <c r="Q167">
        <f t="shared" si="76"/>
        <v>0</v>
      </c>
      <c r="R167">
        <f t="shared" si="77"/>
        <v>0</v>
      </c>
      <c r="S167">
        <f t="shared" si="78"/>
        <v>0</v>
      </c>
      <c r="T167">
        <f t="shared" si="79"/>
        <v>0</v>
      </c>
      <c r="U167">
        <f t="shared" si="80"/>
        <v>0</v>
      </c>
      <c r="V167">
        <f t="shared" si="81"/>
        <v>1</v>
      </c>
      <c r="W167">
        <f t="shared" si="82"/>
        <v>0</v>
      </c>
      <c r="X167">
        <f t="shared" si="83"/>
        <v>0</v>
      </c>
      <c r="Y167">
        <f t="shared" si="84"/>
        <v>0</v>
      </c>
      <c r="Z167">
        <f t="shared" si="85"/>
        <v>0</v>
      </c>
      <c r="AA167">
        <f t="shared" si="86"/>
        <v>0</v>
      </c>
      <c r="AB167">
        <f t="shared" si="87"/>
        <v>0</v>
      </c>
      <c r="AC167">
        <f t="shared" si="88"/>
        <v>0</v>
      </c>
      <c r="AD167">
        <f t="shared" si="89"/>
        <v>0</v>
      </c>
      <c r="AE167">
        <f t="shared" si="90"/>
        <v>0</v>
      </c>
      <c r="AF167">
        <f t="shared" si="91"/>
        <v>0</v>
      </c>
      <c r="AG167">
        <f t="shared" si="92"/>
        <v>0</v>
      </c>
      <c r="AH167">
        <f t="shared" si="93"/>
        <v>0</v>
      </c>
      <c r="AI167">
        <f t="shared" si="94"/>
        <v>0</v>
      </c>
      <c r="AJ167">
        <f t="shared" si="95"/>
        <v>0</v>
      </c>
      <c r="AK167">
        <f t="shared" si="96"/>
        <v>0</v>
      </c>
      <c r="AL167">
        <f t="shared" si="107"/>
        <v>0</v>
      </c>
      <c r="AM167">
        <f t="shared" si="108"/>
        <v>0</v>
      </c>
      <c r="AN167">
        <f t="shared" si="97"/>
        <v>0</v>
      </c>
      <c r="AO167">
        <f t="shared" si="98"/>
        <v>0</v>
      </c>
      <c r="AP167">
        <f t="shared" si="99"/>
        <v>0</v>
      </c>
      <c r="AQ167">
        <f t="shared" si="109"/>
        <v>0</v>
      </c>
      <c r="AR167">
        <f t="shared" si="110"/>
        <v>0</v>
      </c>
      <c r="AS167">
        <f t="shared" si="100"/>
        <v>0</v>
      </c>
      <c r="AT167">
        <f t="shared" si="101"/>
        <v>0</v>
      </c>
      <c r="AU167">
        <f t="shared" si="102"/>
        <v>0</v>
      </c>
      <c r="AV167">
        <f t="shared" si="103"/>
        <v>0</v>
      </c>
      <c r="AW167">
        <f t="shared" si="104"/>
        <v>0</v>
      </c>
      <c r="AX167">
        <f t="shared" si="105"/>
        <v>0</v>
      </c>
      <c r="AY167">
        <f t="shared" si="106"/>
        <v>0</v>
      </c>
      <c r="AZ167" t="s">
        <v>246</v>
      </c>
    </row>
    <row r="168" spans="1:52">
      <c r="A168">
        <v>167</v>
      </c>
      <c r="B168" s="14">
        <v>46180</v>
      </c>
      <c r="C168" t="s">
        <v>22</v>
      </c>
      <c r="D168" t="s">
        <v>4</v>
      </c>
      <c r="E168" t="s">
        <v>330</v>
      </c>
      <c r="F168" t="s">
        <v>5</v>
      </c>
      <c r="G168">
        <v>7</v>
      </c>
      <c r="H168">
        <v>9</v>
      </c>
      <c r="I168" t="s">
        <v>248</v>
      </c>
      <c r="J168" t="s">
        <v>248</v>
      </c>
      <c r="K168" t="s">
        <v>329</v>
      </c>
      <c r="L168" t="s">
        <v>191</v>
      </c>
      <c r="M168" t="s">
        <v>11</v>
      </c>
      <c r="N168" t="s">
        <v>206</v>
      </c>
      <c r="O168">
        <f t="shared" si="74"/>
        <v>0</v>
      </c>
      <c r="P168">
        <f t="shared" si="75"/>
        <v>0</v>
      </c>
      <c r="Q168">
        <f t="shared" si="76"/>
        <v>0</v>
      </c>
      <c r="R168">
        <f t="shared" si="77"/>
        <v>0</v>
      </c>
      <c r="S168">
        <f t="shared" si="78"/>
        <v>0</v>
      </c>
      <c r="T168">
        <f t="shared" si="79"/>
        <v>0</v>
      </c>
      <c r="U168">
        <f t="shared" si="80"/>
        <v>0</v>
      </c>
      <c r="V168">
        <f t="shared" si="81"/>
        <v>0</v>
      </c>
      <c r="W168">
        <f t="shared" si="82"/>
        <v>0</v>
      </c>
      <c r="X168">
        <f t="shared" si="83"/>
        <v>0</v>
      </c>
      <c r="Y168">
        <f t="shared" si="84"/>
        <v>0</v>
      </c>
      <c r="Z168">
        <f t="shared" si="85"/>
        <v>0</v>
      </c>
      <c r="AA168">
        <f t="shared" si="86"/>
        <v>0</v>
      </c>
      <c r="AB168">
        <f t="shared" si="87"/>
        <v>0</v>
      </c>
      <c r="AC168">
        <f t="shared" si="88"/>
        <v>0</v>
      </c>
      <c r="AD168">
        <f t="shared" si="89"/>
        <v>0</v>
      </c>
      <c r="AE168">
        <f t="shared" si="90"/>
        <v>0</v>
      </c>
      <c r="AF168">
        <f t="shared" si="91"/>
        <v>0</v>
      </c>
      <c r="AG168">
        <f t="shared" si="92"/>
        <v>0</v>
      </c>
      <c r="AH168">
        <f t="shared" si="93"/>
        <v>0</v>
      </c>
      <c r="AI168">
        <f t="shared" si="94"/>
        <v>0</v>
      </c>
      <c r="AJ168">
        <f t="shared" si="95"/>
        <v>0</v>
      </c>
      <c r="AK168">
        <f t="shared" si="96"/>
        <v>0</v>
      </c>
      <c r="AL168">
        <f t="shared" si="107"/>
        <v>0</v>
      </c>
      <c r="AM168">
        <f t="shared" si="108"/>
        <v>0</v>
      </c>
      <c r="AN168">
        <f t="shared" si="97"/>
        <v>0</v>
      </c>
      <c r="AO168">
        <f t="shared" si="98"/>
        <v>0</v>
      </c>
      <c r="AP168">
        <f t="shared" si="99"/>
        <v>0</v>
      </c>
      <c r="AQ168">
        <f t="shared" si="109"/>
        <v>0</v>
      </c>
      <c r="AR168">
        <f t="shared" si="110"/>
        <v>0</v>
      </c>
      <c r="AS168">
        <f t="shared" si="100"/>
        <v>0</v>
      </c>
      <c r="AT168">
        <f t="shared" si="101"/>
        <v>0</v>
      </c>
      <c r="AU168">
        <f t="shared" si="102"/>
        <v>0</v>
      </c>
      <c r="AV168">
        <f t="shared" si="103"/>
        <v>0</v>
      </c>
      <c r="AW168">
        <f t="shared" si="104"/>
        <v>0</v>
      </c>
      <c r="AX168">
        <f t="shared" si="105"/>
        <v>0</v>
      </c>
      <c r="AY168">
        <f t="shared" si="106"/>
        <v>0</v>
      </c>
      <c r="AZ168" t="s">
        <v>246</v>
      </c>
    </row>
    <row r="169" spans="1:52">
      <c r="A169">
        <v>168</v>
      </c>
      <c r="B169" s="14">
        <v>46180</v>
      </c>
      <c r="C169" t="s">
        <v>22</v>
      </c>
      <c r="D169" t="s">
        <v>4</v>
      </c>
      <c r="E169" t="s">
        <v>328</v>
      </c>
      <c r="F169" t="s">
        <v>16</v>
      </c>
      <c r="G169">
        <v>2</v>
      </c>
      <c r="H169">
        <v>4</v>
      </c>
      <c r="I169" t="s">
        <v>248</v>
      </c>
      <c r="J169" t="s">
        <v>248</v>
      </c>
      <c r="K169" t="s">
        <v>327</v>
      </c>
      <c r="L169" t="s">
        <v>191</v>
      </c>
      <c r="M169" t="s">
        <v>11</v>
      </c>
      <c r="N169" t="s">
        <v>198</v>
      </c>
      <c r="O169">
        <f t="shared" si="74"/>
        <v>0</v>
      </c>
      <c r="P169">
        <f t="shared" si="75"/>
        <v>0</v>
      </c>
      <c r="Q169">
        <f t="shared" si="76"/>
        <v>1</v>
      </c>
      <c r="R169">
        <f t="shared" si="77"/>
        <v>0</v>
      </c>
      <c r="S169">
        <f t="shared" si="78"/>
        <v>0</v>
      </c>
      <c r="T169">
        <f t="shared" si="79"/>
        <v>0</v>
      </c>
      <c r="U169">
        <f t="shared" si="80"/>
        <v>0</v>
      </c>
      <c r="V169">
        <f t="shared" si="81"/>
        <v>0</v>
      </c>
      <c r="W169">
        <f t="shared" si="82"/>
        <v>0</v>
      </c>
      <c r="X169">
        <f t="shared" si="83"/>
        <v>0</v>
      </c>
      <c r="Y169">
        <f t="shared" si="84"/>
        <v>0</v>
      </c>
      <c r="Z169">
        <f t="shared" si="85"/>
        <v>0</v>
      </c>
      <c r="AA169">
        <f t="shared" si="86"/>
        <v>0</v>
      </c>
      <c r="AB169">
        <f t="shared" si="87"/>
        <v>0</v>
      </c>
      <c r="AC169">
        <f t="shared" si="88"/>
        <v>0</v>
      </c>
      <c r="AD169">
        <f t="shared" si="89"/>
        <v>0</v>
      </c>
      <c r="AE169">
        <f t="shared" si="90"/>
        <v>0</v>
      </c>
      <c r="AF169">
        <f t="shared" si="91"/>
        <v>0</v>
      </c>
      <c r="AG169">
        <f t="shared" si="92"/>
        <v>0</v>
      </c>
      <c r="AH169">
        <f t="shared" si="93"/>
        <v>0</v>
      </c>
      <c r="AI169">
        <f t="shared" si="94"/>
        <v>0</v>
      </c>
      <c r="AJ169">
        <f t="shared" si="95"/>
        <v>0</v>
      </c>
      <c r="AK169">
        <f t="shared" si="96"/>
        <v>0</v>
      </c>
      <c r="AL169">
        <f t="shared" si="107"/>
        <v>0</v>
      </c>
      <c r="AM169">
        <f t="shared" si="108"/>
        <v>0</v>
      </c>
      <c r="AN169">
        <f t="shared" si="97"/>
        <v>0</v>
      </c>
      <c r="AO169">
        <f t="shared" si="98"/>
        <v>0</v>
      </c>
      <c r="AP169">
        <f t="shared" si="99"/>
        <v>0</v>
      </c>
      <c r="AQ169">
        <f t="shared" si="109"/>
        <v>0</v>
      </c>
      <c r="AR169">
        <f t="shared" si="110"/>
        <v>0</v>
      </c>
      <c r="AS169">
        <f t="shared" si="100"/>
        <v>0</v>
      </c>
      <c r="AT169">
        <f t="shared" si="101"/>
        <v>0</v>
      </c>
      <c r="AU169">
        <f t="shared" si="102"/>
        <v>0</v>
      </c>
      <c r="AV169">
        <f t="shared" si="103"/>
        <v>0</v>
      </c>
      <c r="AW169">
        <f t="shared" si="104"/>
        <v>0</v>
      </c>
      <c r="AX169">
        <f t="shared" si="105"/>
        <v>0</v>
      </c>
      <c r="AY169">
        <f t="shared" si="106"/>
        <v>0</v>
      </c>
      <c r="AZ169" t="s">
        <v>246</v>
      </c>
    </row>
    <row r="170" spans="1:52">
      <c r="A170">
        <v>169</v>
      </c>
      <c r="B170" s="14">
        <v>46180</v>
      </c>
      <c r="C170" t="s">
        <v>22</v>
      </c>
      <c r="D170" t="s">
        <v>8</v>
      </c>
      <c r="E170" t="s">
        <v>326</v>
      </c>
      <c r="F170" t="s">
        <v>14</v>
      </c>
      <c r="G170">
        <v>4</v>
      </c>
      <c r="H170">
        <v>6</v>
      </c>
      <c r="I170" t="s">
        <v>248</v>
      </c>
      <c r="J170" t="s">
        <v>248</v>
      </c>
      <c r="K170" t="s">
        <v>325</v>
      </c>
      <c r="L170" t="s">
        <v>191</v>
      </c>
      <c r="M170" t="s">
        <v>11</v>
      </c>
      <c r="N170" t="s">
        <v>206</v>
      </c>
      <c r="O170">
        <f t="shared" si="74"/>
        <v>1</v>
      </c>
      <c r="P170">
        <f t="shared" si="75"/>
        <v>1</v>
      </c>
      <c r="Q170">
        <f t="shared" si="76"/>
        <v>0</v>
      </c>
      <c r="R170">
        <f t="shared" si="77"/>
        <v>0</v>
      </c>
      <c r="S170">
        <f t="shared" si="78"/>
        <v>0</v>
      </c>
      <c r="T170">
        <f t="shared" si="79"/>
        <v>0</v>
      </c>
      <c r="U170">
        <f t="shared" si="80"/>
        <v>0</v>
      </c>
      <c r="V170">
        <f t="shared" si="81"/>
        <v>0</v>
      </c>
      <c r="W170">
        <f t="shared" si="82"/>
        <v>0</v>
      </c>
      <c r="X170">
        <f t="shared" si="83"/>
        <v>0</v>
      </c>
      <c r="Y170">
        <f t="shared" si="84"/>
        <v>0</v>
      </c>
      <c r="Z170">
        <f t="shared" si="85"/>
        <v>0</v>
      </c>
      <c r="AA170">
        <f t="shared" si="86"/>
        <v>0</v>
      </c>
      <c r="AB170">
        <f t="shared" si="87"/>
        <v>0</v>
      </c>
      <c r="AC170">
        <f t="shared" si="88"/>
        <v>1</v>
      </c>
      <c r="AD170">
        <f t="shared" si="89"/>
        <v>1</v>
      </c>
      <c r="AE170">
        <f t="shared" si="90"/>
        <v>0</v>
      </c>
      <c r="AF170">
        <f t="shared" si="91"/>
        <v>0</v>
      </c>
      <c r="AG170">
        <f t="shared" si="92"/>
        <v>0</v>
      </c>
      <c r="AH170">
        <f t="shared" si="93"/>
        <v>0</v>
      </c>
      <c r="AI170">
        <f t="shared" si="94"/>
        <v>0</v>
      </c>
      <c r="AJ170">
        <f t="shared" si="95"/>
        <v>0</v>
      </c>
      <c r="AK170">
        <f t="shared" si="96"/>
        <v>0</v>
      </c>
      <c r="AL170">
        <f t="shared" si="107"/>
        <v>0</v>
      </c>
      <c r="AM170">
        <f t="shared" si="108"/>
        <v>0</v>
      </c>
      <c r="AN170">
        <f t="shared" si="97"/>
        <v>0</v>
      </c>
      <c r="AO170">
        <f t="shared" si="98"/>
        <v>0</v>
      </c>
      <c r="AP170">
        <f t="shared" si="99"/>
        <v>0</v>
      </c>
      <c r="AQ170">
        <f t="shared" si="109"/>
        <v>0</v>
      </c>
      <c r="AR170">
        <f t="shared" si="110"/>
        <v>0</v>
      </c>
      <c r="AS170">
        <f t="shared" si="100"/>
        <v>0</v>
      </c>
      <c r="AT170">
        <f t="shared" si="101"/>
        <v>0</v>
      </c>
      <c r="AU170">
        <f t="shared" si="102"/>
        <v>0</v>
      </c>
      <c r="AV170">
        <f t="shared" si="103"/>
        <v>0</v>
      </c>
      <c r="AW170">
        <f t="shared" si="104"/>
        <v>0</v>
      </c>
      <c r="AX170">
        <f t="shared" si="105"/>
        <v>0</v>
      </c>
      <c r="AY170">
        <f t="shared" si="106"/>
        <v>0</v>
      </c>
      <c r="AZ170" t="s">
        <v>246</v>
      </c>
    </row>
    <row r="171" spans="1:52">
      <c r="A171">
        <v>170</v>
      </c>
      <c r="B171" s="14">
        <v>46180</v>
      </c>
      <c r="C171" t="s">
        <v>22</v>
      </c>
      <c r="D171" t="s">
        <v>8</v>
      </c>
      <c r="E171" t="s">
        <v>324</v>
      </c>
      <c r="F171" t="s">
        <v>3</v>
      </c>
      <c r="G171">
        <v>6</v>
      </c>
      <c r="H171">
        <v>10</v>
      </c>
      <c r="I171" t="s">
        <v>248</v>
      </c>
      <c r="J171" t="s">
        <v>248</v>
      </c>
      <c r="K171" t="s">
        <v>323</v>
      </c>
      <c r="L171" t="s">
        <v>191</v>
      </c>
      <c r="M171" t="s">
        <v>11</v>
      </c>
      <c r="N171" t="s">
        <v>206</v>
      </c>
      <c r="O171">
        <f t="shared" si="74"/>
        <v>1</v>
      </c>
      <c r="P171">
        <f t="shared" si="75"/>
        <v>1</v>
      </c>
      <c r="Q171">
        <f t="shared" si="76"/>
        <v>0</v>
      </c>
      <c r="R171">
        <f t="shared" si="77"/>
        <v>0</v>
      </c>
      <c r="S171">
        <f t="shared" si="78"/>
        <v>0</v>
      </c>
      <c r="T171">
        <f t="shared" si="79"/>
        <v>0</v>
      </c>
      <c r="U171">
        <f t="shared" si="80"/>
        <v>1</v>
      </c>
      <c r="V171">
        <f t="shared" si="81"/>
        <v>1</v>
      </c>
      <c r="W171">
        <f t="shared" si="82"/>
        <v>0</v>
      </c>
      <c r="X171">
        <f t="shared" si="83"/>
        <v>0</v>
      </c>
      <c r="Y171">
        <f t="shared" si="84"/>
        <v>0</v>
      </c>
      <c r="Z171">
        <f t="shared" si="85"/>
        <v>0</v>
      </c>
      <c r="AA171">
        <f t="shared" si="86"/>
        <v>0</v>
      </c>
      <c r="AB171">
        <f t="shared" si="87"/>
        <v>0</v>
      </c>
      <c r="AC171">
        <f t="shared" si="88"/>
        <v>1</v>
      </c>
      <c r="AD171">
        <f t="shared" si="89"/>
        <v>1</v>
      </c>
      <c r="AE171">
        <f t="shared" si="90"/>
        <v>0</v>
      </c>
      <c r="AF171">
        <f t="shared" si="91"/>
        <v>0</v>
      </c>
      <c r="AG171">
        <f t="shared" si="92"/>
        <v>1</v>
      </c>
      <c r="AH171">
        <f t="shared" si="93"/>
        <v>0</v>
      </c>
      <c r="AI171">
        <f t="shared" si="94"/>
        <v>0</v>
      </c>
      <c r="AJ171">
        <f t="shared" si="95"/>
        <v>0</v>
      </c>
      <c r="AK171">
        <f t="shared" si="96"/>
        <v>0</v>
      </c>
      <c r="AL171">
        <f t="shared" si="107"/>
        <v>0</v>
      </c>
      <c r="AM171">
        <f t="shared" si="108"/>
        <v>0</v>
      </c>
      <c r="AN171">
        <f t="shared" si="97"/>
        <v>0</v>
      </c>
      <c r="AO171">
        <f t="shared" si="98"/>
        <v>0</v>
      </c>
      <c r="AP171">
        <f t="shared" si="99"/>
        <v>0</v>
      </c>
      <c r="AQ171">
        <f t="shared" si="109"/>
        <v>0</v>
      </c>
      <c r="AR171">
        <f t="shared" si="110"/>
        <v>0</v>
      </c>
      <c r="AS171">
        <f t="shared" si="100"/>
        <v>0</v>
      </c>
      <c r="AT171">
        <f t="shared" si="101"/>
        <v>0</v>
      </c>
      <c r="AU171">
        <f t="shared" si="102"/>
        <v>0</v>
      </c>
      <c r="AV171">
        <f t="shared" si="103"/>
        <v>0</v>
      </c>
      <c r="AW171">
        <f t="shared" si="104"/>
        <v>0</v>
      </c>
      <c r="AX171">
        <f t="shared" si="105"/>
        <v>0</v>
      </c>
      <c r="AY171">
        <f t="shared" si="106"/>
        <v>0</v>
      </c>
      <c r="AZ171" t="s">
        <v>246</v>
      </c>
    </row>
    <row r="172" spans="1:52" ht="28.8">
      <c r="A172">
        <v>171</v>
      </c>
      <c r="B172" s="14">
        <v>46180</v>
      </c>
      <c r="C172" t="s">
        <v>22</v>
      </c>
      <c r="D172" t="s">
        <v>2</v>
      </c>
      <c r="E172" s="2" t="s">
        <v>322</v>
      </c>
      <c r="F172" t="s">
        <v>3</v>
      </c>
      <c r="G172">
        <v>8</v>
      </c>
      <c r="H172">
        <v>10</v>
      </c>
      <c r="I172" t="s">
        <v>248</v>
      </c>
      <c r="J172" t="s">
        <v>248</v>
      </c>
      <c r="K172" t="s">
        <v>321</v>
      </c>
      <c r="L172" t="s">
        <v>191</v>
      </c>
      <c r="M172" t="s">
        <v>11</v>
      </c>
      <c r="N172" t="s">
        <v>190</v>
      </c>
      <c r="O172">
        <f t="shared" si="74"/>
        <v>0</v>
      </c>
      <c r="P172">
        <f t="shared" si="75"/>
        <v>0</v>
      </c>
      <c r="Q172">
        <f t="shared" si="76"/>
        <v>1</v>
      </c>
      <c r="R172">
        <f t="shared" si="77"/>
        <v>0</v>
      </c>
      <c r="S172">
        <f t="shared" si="78"/>
        <v>0</v>
      </c>
      <c r="T172">
        <f t="shared" si="79"/>
        <v>0</v>
      </c>
      <c r="U172">
        <f t="shared" si="80"/>
        <v>0</v>
      </c>
      <c r="V172">
        <f t="shared" si="81"/>
        <v>0</v>
      </c>
      <c r="W172">
        <f t="shared" si="82"/>
        <v>0</v>
      </c>
      <c r="X172">
        <f t="shared" si="83"/>
        <v>1</v>
      </c>
      <c r="Y172">
        <f t="shared" si="84"/>
        <v>0</v>
      </c>
      <c r="Z172">
        <f t="shared" si="85"/>
        <v>0</v>
      </c>
      <c r="AA172">
        <f t="shared" si="86"/>
        <v>0</v>
      </c>
      <c r="AB172">
        <f t="shared" si="87"/>
        <v>0</v>
      </c>
      <c r="AC172">
        <f t="shared" si="88"/>
        <v>1</v>
      </c>
      <c r="AD172">
        <f t="shared" si="89"/>
        <v>0</v>
      </c>
      <c r="AE172">
        <f t="shared" si="90"/>
        <v>0</v>
      </c>
      <c r="AF172">
        <f t="shared" si="91"/>
        <v>0</v>
      </c>
      <c r="AG172">
        <f t="shared" si="92"/>
        <v>0</v>
      </c>
      <c r="AH172">
        <f t="shared" si="93"/>
        <v>0</v>
      </c>
      <c r="AI172">
        <f t="shared" si="94"/>
        <v>0</v>
      </c>
      <c r="AJ172">
        <f t="shared" si="95"/>
        <v>0</v>
      </c>
      <c r="AK172">
        <f t="shared" si="96"/>
        <v>0</v>
      </c>
      <c r="AL172">
        <f t="shared" si="107"/>
        <v>0</v>
      </c>
      <c r="AM172">
        <f t="shared" si="108"/>
        <v>0</v>
      </c>
      <c r="AN172">
        <f t="shared" si="97"/>
        <v>0</v>
      </c>
      <c r="AO172">
        <f t="shared" si="98"/>
        <v>0</v>
      </c>
      <c r="AP172">
        <f t="shared" si="99"/>
        <v>0</v>
      </c>
      <c r="AQ172">
        <f t="shared" si="109"/>
        <v>0</v>
      </c>
      <c r="AR172">
        <f t="shared" si="110"/>
        <v>0</v>
      </c>
      <c r="AS172">
        <f t="shared" si="100"/>
        <v>0</v>
      </c>
      <c r="AT172">
        <f t="shared" si="101"/>
        <v>0</v>
      </c>
      <c r="AU172">
        <f t="shared" si="102"/>
        <v>0</v>
      </c>
      <c r="AV172">
        <f t="shared" si="103"/>
        <v>0</v>
      </c>
      <c r="AW172">
        <f t="shared" si="104"/>
        <v>0</v>
      </c>
      <c r="AX172">
        <f t="shared" si="105"/>
        <v>0</v>
      </c>
      <c r="AY172">
        <f t="shared" si="106"/>
        <v>0</v>
      </c>
      <c r="AZ172" t="s">
        <v>246</v>
      </c>
    </row>
    <row r="173" spans="1:52">
      <c r="A173">
        <v>172</v>
      </c>
      <c r="B173" s="14">
        <v>46180</v>
      </c>
      <c r="C173" t="s">
        <v>22</v>
      </c>
      <c r="D173" t="s">
        <v>2</v>
      </c>
      <c r="E173" t="s">
        <v>320</v>
      </c>
      <c r="F173" t="s">
        <v>16</v>
      </c>
      <c r="G173">
        <v>5</v>
      </c>
      <c r="H173">
        <v>10</v>
      </c>
      <c r="I173" t="s">
        <v>248</v>
      </c>
      <c r="J173" t="s">
        <v>248</v>
      </c>
      <c r="K173" t="s">
        <v>319</v>
      </c>
      <c r="L173" t="s">
        <v>191</v>
      </c>
      <c r="M173" t="s">
        <v>11</v>
      </c>
      <c r="N173" t="s">
        <v>198</v>
      </c>
      <c r="O173">
        <f t="shared" si="74"/>
        <v>0</v>
      </c>
      <c r="P173">
        <f t="shared" si="75"/>
        <v>0</v>
      </c>
      <c r="Q173">
        <f t="shared" si="76"/>
        <v>0</v>
      </c>
      <c r="R173">
        <f t="shared" si="77"/>
        <v>0</v>
      </c>
      <c r="S173">
        <f t="shared" si="78"/>
        <v>0</v>
      </c>
      <c r="T173">
        <f t="shared" si="79"/>
        <v>0</v>
      </c>
      <c r="U173">
        <f t="shared" si="80"/>
        <v>0</v>
      </c>
      <c r="V173">
        <f t="shared" si="81"/>
        <v>0</v>
      </c>
      <c r="W173">
        <f t="shared" si="82"/>
        <v>0</v>
      </c>
      <c r="X173">
        <f t="shared" si="83"/>
        <v>0</v>
      </c>
      <c r="Y173">
        <f t="shared" si="84"/>
        <v>0</v>
      </c>
      <c r="Z173">
        <f t="shared" si="85"/>
        <v>0</v>
      </c>
      <c r="AA173">
        <f t="shared" si="86"/>
        <v>0</v>
      </c>
      <c r="AB173">
        <f t="shared" si="87"/>
        <v>0</v>
      </c>
      <c r="AC173">
        <f t="shared" si="88"/>
        <v>0</v>
      </c>
      <c r="AD173">
        <f t="shared" si="89"/>
        <v>0</v>
      </c>
      <c r="AE173">
        <f t="shared" si="90"/>
        <v>0</v>
      </c>
      <c r="AF173">
        <f t="shared" si="91"/>
        <v>0</v>
      </c>
      <c r="AG173">
        <f t="shared" si="92"/>
        <v>0</v>
      </c>
      <c r="AH173">
        <f t="shared" si="93"/>
        <v>0</v>
      </c>
      <c r="AI173">
        <f t="shared" si="94"/>
        <v>0</v>
      </c>
      <c r="AJ173">
        <f t="shared" si="95"/>
        <v>0</v>
      </c>
      <c r="AK173">
        <f t="shared" si="96"/>
        <v>0</v>
      </c>
      <c r="AL173">
        <f t="shared" si="107"/>
        <v>0</v>
      </c>
      <c r="AM173">
        <f t="shared" si="108"/>
        <v>0</v>
      </c>
      <c r="AN173">
        <f t="shared" si="97"/>
        <v>0</v>
      </c>
      <c r="AO173">
        <f t="shared" si="98"/>
        <v>0</v>
      </c>
      <c r="AP173">
        <f t="shared" si="99"/>
        <v>0</v>
      </c>
      <c r="AQ173">
        <f t="shared" si="109"/>
        <v>0</v>
      </c>
      <c r="AR173">
        <f t="shared" si="110"/>
        <v>0</v>
      </c>
      <c r="AS173">
        <f t="shared" si="100"/>
        <v>0</v>
      </c>
      <c r="AT173">
        <f t="shared" si="101"/>
        <v>0</v>
      </c>
      <c r="AU173">
        <f t="shared" si="102"/>
        <v>0</v>
      </c>
      <c r="AV173">
        <f t="shared" si="103"/>
        <v>0</v>
      </c>
      <c r="AW173">
        <f t="shared" si="104"/>
        <v>0</v>
      </c>
      <c r="AX173">
        <f t="shared" si="105"/>
        <v>0</v>
      </c>
      <c r="AY173">
        <f t="shared" si="106"/>
        <v>0</v>
      </c>
      <c r="AZ173" t="s">
        <v>246</v>
      </c>
    </row>
    <row r="174" spans="1:52">
      <c r="A174">
        <v>173</v>
      </c>
      <c r="B174" s="14">
        <v>46180</v>
      </c>
      <c r="C174" t="s">
        <v>22</v>
      </c>
      <c r="D174" t="s">
        <v>2</v>
      </c>
      <c r="E174" t="s">
        <v>318</v>
      </c>
      <c r="F174" t="s">
        <v>3</v>
      </c>
      <c r="G174">
        <v>6</v>
      </c>
      <c r="H174">
        <v>8</v>
      </c>
      <c r="I174" t="s">
        <v>248</v>
      </c>
      <c r="J174" t="s">
        <v>248</v>
      </c>
      <c r="K174" t="s">
        <v>317</v>
      </c>
      <c r="L174" t="s">
        <v>191</v>
      </c>
      <c r="M174" t="s">
        <v>11</v>
      </c>
      <c r="N174" t="s">
        <v>190</v>
      </c>
      <c r="O174">
        <f t="shared" si="74"/>
        <v>1</v>
      </c>
      <c r="P174">
        <f t="shared" si="75"/>
        <v>0</v>
      </c>
      <c r="Q174">
        <f t="shared" si="76"/>
        <v>1</v>
      </c>
      <c r="R174">
        <f t="shared" si="77"/>
        <v>0</v>
      </c>
      <c r="S174">
        <f t="shared" si="78"/>
        <v>0</v>
      </c>
      <c r="T174">
        <f t="shared" si="79"/>
        <v>0</v>
      </c>
      <c r="U174">
        <f t="shared" si="80"/>
        <v>0</v>
      </c>
      <c r="V174">
        <f t="shared" si="81"/>
        <v>0</v>
      </c>
      <c r="W174">
        <f t="shared" si="82"/>
        <v>0</v>
      </c>
      <c r="X174">
        <f t="shared" si="83"/>
        <v>0</v>
      </c>
      <c r="Y174">
        <f t="shared" si="84"/>
        <v>0</v>
      </c>
      <c r="Z174">
        <f t="shared" si="85"/>
        <v>0</v>
      </c>
      <c r="AA174">
        <f t="shared" si="86"/>
        <v>1</v>
      </c>
      <c r="AB174">
        <f t="shared" si="87"/>
        <v>0</v>
      </c>
      <c r="AC174">
        <f t="shared" si="88"/>
        <v>0</v>
      </c>
      <c r="AD174">
        <f t="shared" si="89"/>
        <v>0</v>
      </c>
      <c r="AE174">
        <f t="shared" si="90"/>
        <v>0</v>
      </c>
      <c r="AF174">
        <f t="shared" si="91"/>
        <v>0</v>
      </c>
      <c r="AG174">
        <f t="shared" si="92"/>
        <v>0</v>
      </c>
      <c r="AH174">
        <f t="shared" si="93"/>
        <v>0</v>
      </c>
      <c r="AI174">
        <f t="shared" si="94"/>
        <v>0</v>
      </c>
      <c r="AJ174">
        <f t="shared" si="95"/>
        <v>0</v>
      </c>
      <c r="AK174">
        <f t="shared" si="96"/>
        <v>0</v>
      </c>
      <c r="AL174">
        <f t="shared" si="107"/>
        <v>0</v>
      </c>
      <c r="AM174">
        <f t="shared" si="108"/>
        <v>0</v>
      </c>
      <c r="AN174">
        <f t="shared" si="97"/>
        <v>0</v>
      </c>
      <c r="AO174">
        <f t="shared" si="98"/>
        <v>0</v>
      </c>
      <c r="AP174">
        <f t="shared" si="99"/>
        <v>0</v>
      </c>
      <c r="AQ174">
        <f t="shared" si="109"/>
        <v>0</v>
      </c>
      <c r="AR174">
        <f t="shared" si="110"/>
        <v>0</v>
      </c>
      <c r="AS174">
        <f t="shared" si="100"/>
        <v>0</v>
      </c>
      <c r="AT174">
        <f t="shared" si="101"/>
        <v>0</v>
      </c>
      <c r="AU174">
        <f t="shared" si="102"/>
        <v>0</v>
      </c>
      <c r="AV174">
        <f t="shared" si="103"/>
        <v>0</v>
      </c>
      <c r="AW174">
        <f t="shared" si="104"/>
        <v>0</v>
      </c>
      <c r="AX174">
        <f t="shared" si="105"/>
        <v>0</v>
      </c>
      <c r="AY174">
        <f t="shared" si="106"/>
        <v>0</v>
      </c>
      <c r="AZ174" t="s">
        <v>246</v>
      </c>
    </row>
    <row r="175" spans="1:52">
      <c r="A175">
        <v>174</v>
      </c>
      <c r="B175" s="14">
        <v>46180</v>
      </c>
      <c r="C175" t="s">
        <v>22</v>
      </c>
      <c r="D175" t="s">
        <v>2</v>
      </c>
      <c r="E175" t="s">
        <v>316</v>
      </c>
      <c r="F175" t="s">
        <v>6</v>
      </c>
      <c r="G175">
        <v>5</v>
      </c>
      <c r="H175">
        <v>8</v>
      </c>
      <c r="I175" t="s">
        <v>248</v>
      </c>
      <c r="J175" t="s">
        <v>248</v>
      </c>
      <c r="K175" t="s">
        <v>315</v>
      </c>
      <c r="L175" t="s">
        <v>191</v>
      </c>
      <c r="M175" t="s">
        <v>11</v>
      </c>
      <c r="N175" t="s">
        <v>190</v>
      </c>
      <c r="O175">
        <f t="shared" si="74"/>
        <v>1</v>
      </c>
      <c r="P175">
        <f t="shared" si="75"/>
        <v>0</v>
      </c>
      <c r="Q175">
        <f t="shared" si="76"/>
        <v>1</v>
      </c>
      <c r="R175">
        <f t="shared" si="77"/>
        <v>0</v>
      </c>
      <c r="S175">
        <f t="shared" si="78"/>
        <v>0</v>
      </c>
      <c r="T175">
        <f t="shared" si="79"/>
        <v>0</v>
      </c>
      <c r="U175">
        <f t="shared" si="80"/>
        <v>0</v>
      </c>
      <c r="V175">
        <f t="shared" si="81"/>
        <v>0</v>
      </c>
      <c r="W175">
        <f t="shared" si="82"/>
        <v>0</v>
      </c>
      <c r="X175">
        <f t="shared" si="83"/>
        <v>0</v>
      </c>
      <c r="Y175">
        <f t="shared" si="84"/>
        <v>0</v>
      </c>
      <c r="Z175">
        <f t="shared" si="85"/>
        <v>0</v>
      </c>
      <c r="AA175">
        <f t="shared" si="86"/>
        <v>0</v>
      </c>
      <c r="AB175">
        <f t="shared" si="87"/>
        <v>0</v>
      </c>
      <c r="AC175">
        <f t="shared" si="88"/>
        <v>1</v>
      </c>
      <c r="AD175">
        <f t="shared" si="89"/>
        <v>0</v>
      </c>
      <c r="AE175">
        <f t="shared" si="90"/>
        <v>0</v>
      </c>
      <c r="AF175">
        <f t="shared" si="91"/>
        <v>0</v>
      </c>
      <c r="AG175">
        <f t="shared" si="92"/>
        <v>0</v>
      </c>
      <c r="AH175">
        <f t="shared" si="93"/>
        <v>0</v>
      </c>
      <c r="AI175">
        <f t="shared" si="94"/>
        <v>0</v>
      </c>
      <c r="AJ175">
        <f t="shared" si="95"/>
        <v>0</v>
      </c>
      <c r="AK175">
        <f t="shared" si="96"/>
        <v>0</v>
      </c>
      <c r="AL175">
        <f t="shared" si="107"/>
        <v>0</v>
      </c>
      <c r="AM175">
        <f t="shared" si="108"/>
        <v>0</v>
      </c>
      <c r="AN175">
        <f t="shared" si="97"/>
        <v>0</v>
      </c>
      <c r="AO175">
        <f t="shared" si="98"/>
        <v>0</v>
      </c>
      <c r="AP175">
        <f t="shared" si="99"/>
        <v>0</v>
      </c>
      <c r="AQ175">
        <f t="shared" si="109"/>
        <v>0</v>
      </c>
      <c r="AR175">
        <f t="shared" si="110"/>
        <v>0</v>
      </c>
      <c r="AS175">
        <f t="shared" si="100"/>
        <v>0</v>
      </c>
      <c r="AT175">
        <f t="shared" si="101"/>
        <v>0</v>
      </c>
      <c r="AU175">
        <f t="shared" si="102"/>
        <v>0</v>
      </c>
      <c r="AV175">
        <f t="shared" si="103"/>
        <v>0</v>
      </c>
      <c r="AW175">
        <f t="shared" si="104"/>
        <v>0</v>
      </c>
      <c r="AX175">
        <f t="shared" si="105"/>
        <v>0</v>
      </c>
      <c r="AY175">
        <f t="shared" si="106"/>
        <v>0</v>
      </c>
      <c r="AZ175" t="s">
        <v>246</v>
      </c>
    </row>
    <row r="176" spans="1:52">
      <c r="A176">
        <v>175</v>
      </c>
      <c r="B176" s="14">
        <v>46180</v>
      </c>
      <c r="C176" t="s">
        <v>22</v>
      </c>
      <c r="D176" t="s">
        <v>2</v>
      </c>
      <c r="E176" t="s">
        <v>314</v>
      </c>
      <c r="F176" t="s">
        <v>14</v>
      </c>
      <c r="G176">
        <v>5</v>
      </c>
      <c r="H176">
        <v>7</v>
      </c>
      <c r="I176" t="s">
        <v>248</v>
      </c>
      <c r="J176" t="s">
        <v>248</v>
      </c>
      <c r="K176" t="s">
        <v>313</v>
      </c>
      <c r="L176" t="s">
        <v>191</v>
      </c>
      <c r="M176" t="s">
        <v>11</v>
      </c>
      <c r="N176" t="s">
        <v>198</v>
      </c>
      <c r="O176">
        <f t="shared" si="74"/>
        <v>1</v>
      </c>
      <c r="P176">
        <f t="shared" si="75"/>
        <v>1</v>
      </c>
      <c r="Q176">
        <f t="shared" si="76"/>
        <v>1</v>
      </c>
      <c r="R176">
        <f t="shared" si="77"/>
        <v>1</v>
      </c>
      <c r="S176">
        <f t="shared" si="78"/>
        <v>0</v>
      </c>
      <c r="T176">
        <f t="shared" si="79"/>
        <v>0</v>
      </c>
      <c r="U176">
        <f t="shared" si="80"/>
        <v>0</v>
      </c>
      <c r="V176">
        <f t="shared" si="81"/>
        <v>0</v>
      </c>
      <c r="W176">
        <f t="shared" si="82"/>
        <v>0</v>
      </c>
      <c r="X176">
        <f t="shared" si="83"/>
        <v>0</v>
      </c>
      <c r="Y176">
        <f t="shared" si="84"/>
        <v>0</v>
      </c>
      <c r="Z176">
        <f t="shared" si="85"/>
        <v>0</v>
      </c>
      <c r="AA176">
        <f t="shared" si="86"/>
        <v>0</v>
      </c>
      <c r="AB176">
        <f t="shared" si="87"/>
        <v>0</v>
      </c>
      <c r="AC176">
        <f t="shared" si="88"/>
        <v>0</v>
      </c>
      <c r="AD176">
        <f t="shared" si="89"/>
        <v>0</v>
      </c>
      <c r="AE176">
        <f t="shared" si="90"/>
        <v>0</v>
      </c>
      <c r="AF176">
        <f t="shared" si="91"/>
        <v>0</v>
      </c>
      <c r="AG176">
        <f t="shared" si="92"/>
        <v>0</v>
      </c>
      <c r="AH176">
        <f t="shared" si="93"/>
        <v>0</v>
      </c>
      <c r="AI176">
        <f t="shared" si="94"/>
        <v>0</v>
      </c>
      <c r="AJ176">
        <f t="shared" si="95"/>
        <v>0</v>
      </c>
      <c r="AK176">
        <f t="shared" si="96"/>
        <v>0</v>
      </c>
      <c r="AL176">
        <f t="shared" si="107"/>
        <v>0</v>
      </c>
      <c r="AM176">
        <f t="shared" si="108"/>
        <v>0</v>
      </c>
      <c r="AN176">
        <f t="shared" si="97"/>
        <v>0</v>
      </c>
      <c r="AO176">
        <f t="shared" si="98"/>
        <v>0</v>
      </c>
      <c r="AP176">
        <f t="shared" si="99"/>
        <v>0</v>
      </c>
      <c r="AQ176">
        <f t="shared" si="109"/>
        <v>0</v>
      </c>
      <c r="AR176">
        <f t="shared" si="110"/>
        <v>0</v>
      </c>
      <c r="AS176">
        <f t="shared" si="100"/>
        <v>0</v>
      </c>
      <c r="AT176">
        <f t="shared" si="101"/>
        <v>0</v>
      </c>
      <c r="AU176">
        <f t="shared" si="102"/>
        <v>0</v>
      </c>
      <c r="AV176">
        <f t="shared" si="103"/>
        <v>0</v>
      </c>
      <c r="AW176">
        <f t="shared" si="104"/>
        <v>0</v>
      </c>
      <c r="AX176">
        <f t="shared" si="105"/>
        <v>0</v>
      </c>
      <c r="AY176">
        <f t="shared" si="106"/>
        <v>0</v>
      </c>
      <c r="AZ176" t="s">
        <v>246</v>
      </c>
    </row>
    <row r="177" spans="1:52">
      <c r="A177">
        <v>176</v>
      </c>
      <c r="B177" s="14">
        <v>46180</v>
      </c>
      <c r="C177" t="s">
        <v>22</v>
      </c>
      <c r="D177" t="s">
        <v>2</v>
      </c>
      <c r="E177" t="s">
        <v>312</v>
      </c>
      <c r="F177" t="s">
        <v>3</v>
      </c>
      <c r="G177">
        <v>5</v>
      </c>
      <c r="H177">
        <v>8</v>
      </c>
      <c r="I177" t="s">
        <v>248</v>
      </c>
      <c r="J177" t="s">
        <v>248</v>
      </c>
      <c r="K177" t="s">
        <v>311</v>
      </c>
      <c r="L177" t="s">
        <v>191</v>
      </c>
      <c r="M177" t="s">
        <v>11</v>
      </c>
      <c r="N177" t="s">
        <v>190</v>
      </c>
      <c r="O177">
        <f t="shared" si="74"/>
        <v>1</v>
      </c>
      <c r="P177">
        <f t="shared" si="75"/>
        <v>0</v>
      </c>
      <c r="Q177">
        <f t="shared" si="76"/>
        <v>1</v>
      </c>
      <c r="R177">
        <f t="shared" si="77"/>
        <v>0</v>
      </c>
      <c r="S177">
        <f t="shared" si="78"/>
        <v>1</v>
      </c>
      <c r="T177">
        <f t="shared" si="79"/>
        <v>0</v>
      </c>
      <c r="U177">
        <f t="shared" si="80"/>
        <v>0</v>
      </c>
      <c r="V177">
        <f t="shared" si="81"/>
        <v>0</v>
      </c>
      <c r="W177">
        <f t="shared" si="82"/>
        <v>0</v>
      </c>
      <c r="X177">
        <f t="shared" si="83"/>
        <v>0</v>
      </c>
      <c r="Y177">
        <f t="shared" si="84"/>
        <v>0</v>
      </c>
      <c r="Z177">
        <f t="shared" si="85"/>
        <v>0</v>
      </c>
      <c r="AA177">
        <f t="shared" si="86"/>
        <v>0</v>
      </c>
      <c r="AB177">
        <f t="shared" si="87"/>
        <v>0</v>
      </c>
      <c r="AC177">
        <f t="shared" si="88"/>
        <v>0</v>
      </c>
      <c r="AD177">
        <f t="shared" si="89"/>
        <v>0</v>
      </c>
      <c r="AE177">
        <f t="shared" si="90"/>
        <v>0</v>
      </c>
      <c r="AF177">
        <f t="shared" si="91"/>
        <v>0</v>
      </c>
      <c r="AG177">
        <f t="shared" si="92"/>
        <v>0</v>
      </c>
      <c r="AH177">
        <f t="shared" si="93"/>
        <v>0</v>
      </c>
      <c r="AI177">
        <f t="shared" si="94"/>
        <v>0</v>
      </c>
      <c r="AJ177">
        <f t="shared" si="95"/>
        <v>0</v>
      </c>
      <c r="AK177">
        <f t="shared" si="96"/>
        <v>0</v>
      </c>
      <c r="AL177">
        <f t="shared" si="107"/>
        <v>0</v>
      </c>
      <c r="AM177">
        <f t="shared" si="108"/>
        <v>0</v>
      </c>
      <c r="AN177">
        <f t="shared" si="97"/>
        <v>0</v>
      </c>
      <c r="AO177">
        <f t="shared" si="98"/>
        <v>0</v>
      </c>
      <c r="AP177">
        <f t="shared" si="99"/>
        <v>0</v>
      </c>
      <c r="AQ177">
        <f t="shared" si="109"/>
        <v>0</v>
      </c>
      <c r="AR177">
        <f t="shared" si="110"/>
        <v>0</v>
      </c>
      <c r="AS177">
        <f t="shared" si="100"/>
        <v>0</v>
      </c>
      <c r="AT177">
        <f t="shared" si="101"/>
        <v>0</v>
      </c>
      <c r="AU177">
        <f t="shared" si="102"/>
        <v>0</v>
      </c>
      <c r="AV177">
        <f t="shared" si="103"/>
        <v>0</v>
      </c>
      <c r="AW177">
        <f t="shared" si="104"/>
        <v>0</v>
      </c>
      <c r="AX177">
        <f t="shared" si="105"/>
        <v>0</v>
      </c>
      <c r="AY177">
        <f t="shared" si="106"/>
        <v>0</v>
      </c>
      <c r="AZ177" t="s">
        <v>246</v>
      </c>
    </row>
    <row r="178" spans="1:52">
      <c r="A178">
        <v>177</v>
      </c>
      <c r="B178" s="14">
        <v>46180</v>
      </c>
      <c r="C178" t="s">
        <v>22</v>
      </c>
      <c r="D178" t="s">
        <v>2</v>
      </c>
      <c r="E178" t="s">
        <v>310</v>
      </c>
      <c r="F178" t="s">
        <v>14</v>
      </c>
      <c r="G178">
        <v>5</v>
      </c>
      <c r="H178">
        <v>7</v>
      </c>
      <c r="I178" t="s">
        <v>248</v>
      </c>
      <c r="J178" t="s">
        <v>248</v>
      </c>
      <c r="K178" t="s">
        <v>309</v>
      </c>
      <c r="L178" t="s">
        <v>191</v>
      </c>
      <c r="M178" t="s">
        <v>11</v>
      </c>
      <c r="N178" t="s">
        <v>190</v>
      </c>
      <c r="O178">
        <f t="shared" si="74"/>
        <v>0</v>
      </c>
      <c r="P178">
        <f t="shared" si="75"/>
        <v>0</v>
      </c>
      <c r="Q178">
        <f t="shared" si="76"/>
        <v>0</v>
      </c>
      <c r="R178">
        <f t="shared" si="77"/>
        <v>0</v>
      </c>
      <c r="S178">
        <f t="shared" si="78"/>
        <v>1</v>
      </c>
      <c r="T178">
        <f t="shared" si="79"/>
        <v>0</v>
      </c>
      <c r="U178">
        <f t="shared" si="80"/>
        <v>0</v>
      </c>
      <c r="V178">
        <f t="shared" si="81"/>
        <v>0</v>
      </c>
      <c r="W178">
        <f t="shared" si="82"/>
        <v>0</v>
      </c>
      <c r="X178">
        <f t="shared" si="83"/>
        <v>0</v>
      </c>
      <c r="Y178">
        <f t="shared" si="84"/>
        <v>0</v>
      </c>
      <c r="Z178">
        <f t="shared" si="85"/>
        <v>0</v>
      </c>
      <c r="AA178">
        <f t="shared" si="86"/>
        <v>0</v>
      </c>
      <c r="AB178">
        <f t="shared" si="87"/>
        <v>0</v>
      </c>
      <c r="AC178">
        <f t="shared" si="88"/>
        <v>0</v>
      </c>
      <c r="AD178">
        <f t="shared" si="89"/>
        <v>0</v>
      </c>
      <c r="AE178">
        <f t="shared" si="90"/>
        <v>0</v>
      </c>
      <c r="AF178">
        <f t="shared" si="91"/>
        <v>0</v>
      </c>
      <c r="AG178">
        <f t="shared" si="92"/>
        <v>0</v>
      </c>
      <c r="AH178">
        <f t="shared" si="93"/>
        <v>0</v>
      </c>
      <c r="AI178">
        <f t="shared" si="94"/>
        <v>0</v>
      </c>
      <c r="AJ178">
        <f t="shared" si="95"/>
        <v>0</v>
      </c>
      <c r="AK178">
        <f t="shared" si="96"/>
        <v>0</v>
      </c>
      <c r="AL178">
        <f t="shared" si="107"/>
        <v>0</v>
      </c>
      <c r="AM178">
        <f t="shared" si="108"/>
        <v>0</v>
      </c>
      <c r="AN178">
        <f t="shared" si="97"/>
        <v>0</v>
      </c>
      <c r="AO178">
        <f t="shared" si="98"/>
        <v>0</v>
      </c>
      <c r="AP178">
        <f t="shared" si="99"/>
        <v>0</v>
      </c>
      <c r="AQ178">
        <f t="shared" si="109"/>
        <v>0</v>
      </c>
      <c r="AR178">
        <f t="shared" si="110"/>
        <v>0</v>
      </c>
      <c r="AS178">
        <f t="shared" si="100"/>
        <v>0</v>
      </c>
      <c r="AT178">
        <f t="shared" si="101"/>
        <v>0</v>
      </c>
      <c r="AU178">
        <f t="shared" si="102"/>
        <v>0</v>
      </c>
      <c r="AV178">
        <f t="shared" si="103"/>
        <v>0</v>
      </c>
      <c r="AW178">
        <f t="shared" si="104"/>
        <v>0</v>
      </c>
      <c r="AX178">
        <f t="shared" si="105"/>
        <v>0</v>
      </c>
      <c r="AY178">
        <f t="shared" si="106"/>
        <v>0</v>
      </c>
      <c r="AZ178" t="s">
        <v>246</v>
      </c>
    </row>
    <row r="179" spans="1:52">
      <c r="A179">
        <v>178</v>
      </c>
      <c r="B179" s="14">
        <v>46180</v>
      </c>
      <c r="C179" t="s">
        <v>22</v>
      </c>
      <c r="D179" t="s">
        <v>2</v>
      </c>
      <c r="E179" t="s">
        <v>308</v>
      </c>
      <c r="F179" t="s">
        <v>3</v>
      </c>
      <c r="G179">
        <v>8</v>
      </c>
      <c r="H179">
        <v>12</v>
      </c>
      <c r="I179" t="s">
        <v>248</v>
      </c>
      <c r="J179" t="s">
        <v>248</v>
      </c>
      <c r="K179" t="s">
        <v>307</v>
      </c>
      <c r="L179" t="s">
        <v>191</v>
      </c>
      <c r="M179" t="s">
        <v>11</v>
      </c>
      <c r="N179" t="s">
        <v>206</v>
      </c>
      <c r="O179">
        <f t="shared" si="74"/>
        <v>1</v>
      </c>
      <c r="P179">
        <f t="shared" si="75"/>
        <v>0</v>
      </c>
      <c r="Q179">
        <f t="shared" si="76"/>
        <v>0</v>
      </c>
      <c r="R179">
        <f t="shared" si="77"/>
        <v>0</v>
      </c>
      <c r="S179">
        <f t="shared" si="78"/>
        <v>1</v>
      </c>
      <c r="T179">
        <f t="shared" si="79"/>
        <v>0</v>
      </c>
      <c r="U179">
        <f t="shared" si="80"/>
        <v>0</v>
      </c>
      <c r="V179">
        <f t="shared" si="81"/>
        <v>0</v>
      </c>
      <c r="W179">
        <f t="shared" si="82"/>
        <v>0</v>
      </c>
      <c r="X179">
        <f t="shared" si="83"/>
        <v>0</v>
      </c>
      <c r="Y179">
        <f t="shared" si="84"/>
        <v>0</v>
      </c>
      <c r="Z179">
        <f t="shared" si="85"/>
        <v>0</v>
      </c>
      <c r="AA179">
        <f t="shared" si="86"/>
        <v>0</v>
      </c>
      <c r="AB179">
        <f t="shared" si="87"/>
        <v>0</v>
      </c>
      <c r="AC179">
        <f t="shared" si="88"/>
        <v>0</v>
      </c>
      <c r="AD179">
        <f t="shared" si="89"/>
        <v>0</v>
      </c>
      <c r="AE179">
        <f t="shared" si="90"/>
        <v>0</v>
      </c>
      <c r="AF179">
        <f t="shared" si="91"/>
        <v>0</v>
      </c>
      <c r="AG179">
        <f t="shared" si="92"/>
        <v>0</v>
      </c>
      <c r="AH179">
        <f t="shared" si="93"/>
        <v>0</v>
      </c>
      <c r="AI179">
        <f t="shared" si="94"/>
        <v>0</v>
      </c>
      <c r="AJ179">
        <f t="shared" si="95"/>
        <v>0</v>
      </c>
      <c r="AK179">
        <f t="shared" si="96"/>
        <v>0</v>
      </c>
      <c r="AL179">
        <f t="shared" si="107"/>
        <v>0</v>
      </c>
      <c r="AM179">
        <f t="shared" si="108"/>
        <v>0</v>
      </c>
      <c r="AN179">
        <f t="shared" si="97"/>
        <v>0</v>
      </c>
      <c r="AO179">
        <f t="shared" si="98"/>
        <v>0</v>
      </c>
      <c r="AP179">
        <f t="shared" si="99"/>
        <v>0</v>
      </c>
      <c r="AQ179">
        <f t="shared" si="109"/>
        <v>0</v>
      </c>
      <c r="AR179">
        <f t="shared" si="110"/>
        <v>0</v>
      </c>
      <c r="AS179">
        <f t="shared" si="100"/>
        <v>0</v>
      </c>
      <c r="AT179">
        <f t="shared" si="101"/>
        <v>0</v>
      </c>
      <c r="AU179">
        <f t="shared" si="102"/>
        <v>0</v>
      </c>
      <c r="AV179">
        <f t="shared" si="103"/>
        <v>0</v>
      </c>
      <c r="AW179">
        <f t="shared" si="104"/>
        <v>0</v>
      </c>
      <c r="AX179">
        <f t="shared" si="105"/>
        <v>0</v>
      </c>
      <c r="AY179">
        <f t="shared" si="106"/>
        <v>0</v>
      </c>
      <c r="AZ179" t="s">
        <v>246</v>
      </c>
    </row>
    <row r="180" spans="1:52">
      <c r="A180">
        <v>179</v>
      </c>
      <c r="B180" s="14">
        <v>46180</v>
      </c>
      <c r="C180" t="s">
        <v>22</v>
      </c>
      <c r="D180" t="s">
        <v>2</v>
      </c>
      <c r="E180" t="s">
        <v>306</v>
      </c>
      <c r="F180" t="s">
        <v>12</v>
      </c>
      <c r="G180">
        <v>6</v>
      </c>
      <c r="H180">
        <v>8</v>
      </c>
      <c r="I180" t="s">
        <v>248</v>
      </c>
      <c r="J180" t="s">
        <v>248</v>
      </c>
      <c r="K180" t="s">
        <v>305</v>
      </c>
      <c r="L180" t="s">
        <v>191</v>
      </c>
      <c r="M180" t="s">
        <v>11</v>
      </c>
      <c r="N180" t="s">
        <v>198</v>
      </c>
      <c r="O180">
        <f t="shared" si="74"/>
        <v>0</v>
      </c>
      <c r="P180">
        <f t="shared" si="75"/>
        <v>0</v>
      </c>
      <c r="Q180">
        <f t="shared" si="76"/>
        <v>1</v>
      </c>
      <c r="R180">
        <f t="shared" si="77"/>
        <v>0</v>
      </c>
      <c r="S180">
        <f t="shared" si="78"/>
        <v>1</v>
      </c>
      <c r="T180">
        <f t="shared" si="79"/>
        <v>1</v>
      </c>
      <c r="U180">
        <f t="shared" si="80"/>
        <v>0</v>
      </c>
      <c r="V180">
        <f t="shared" si="81"/>
        <v>1</v>
      </c>
      <c r="W180">
        <f t="shared" si="82"/>
        <v>0</v>
      </c>
      <c r="X180">
        <f t="shared" si="83"/>
        <v>0</v>
      </c>
      <c r="Y180">
        <f t="shared" si="84"/>
        <v>0</v>
      </c>
      <c r="Z180">
        <f t="shared" si="85"/>
        <v>0</v>
      </c>
      <c r="AA180">
        <f t="shared" si="86"/>
        <v>0</v>
      </c>
      <c r="AB180">
        <f t="shared" si="87"/>
        <v>0</v>
      </c>
      <c r="AC180">
        <f t="shared" si="88"/>
        <v>0</v>
      </c>
      <c r="AD180">
        <f t="shared" si="89"/>
        <v>0</v>
      </c>
      <c r="AE180">
        <f t="shared" si="90"/>
        <v>0</v>
      </c>
      <c r="AF180">
        <f t="shared" si="91"/>
        <v>0</v>
      </c>
      <c r="AG180">
        <f t="shared" si="92"/>
        <v>0</v>
      </c>
      <c r="AH180">
        <f t="shared" si="93"/>
        <v>0</v>
      </c>
      <c r="AI180">
        <f t="shared" si="94"/>
        <v>0</v>
      </c>
      <c r="AJ180">
        <f t="shared" si="95"/>
        <v>0</v>
      </c>
      <c r="AK180">
        <f t="shared" si="96"/>
        <v>0</v>
      </c>
      <c r="AL180">
        <f t="shared" si="107"/>
        <v>0</v>
      </c>
      <c r="AM180">
        <f t="shared" si="108"/>
        <v>0</v>
      </c>
      <c r="AN180">
        <f t="shared" si="97"/>
        <v>0</v>
      </c>
      <c r="AO180">
        <f t="shared" si="98"/>
        <v>0</v>
      </c>
      <c r="AP180">
        <f t="shared" si="99"/>
        <v>0</v>
      </c>
      <c r="AQ180">
        <f t="shared" si="109"/>
        <v>0</v>
      </c>
      <c r="AR180">
        <f t="shared" si="110"/>
        <v>0</v>
      </c>
      <c r="AS180">
        <f t="shared" si="100"/>
        <v>0</v>
      </c>
      <c r="AT180">
        <f t="shared" si="101"/>
        <v>0</v>
      </c>
      <c r="AU180">
        <f t="shared" si="102"/>
        <v>0</v>
      </c>
      <c r="AV180">
        <f t="shared" si="103"/>
        <v>0</v>
      </c>
      <c r="AW180">
        <f t="shared" si="104"/>
        <v>0</v>
      </c>
      <c r="AX180">
        <f t="shared" si="105"/>
        <v>0</v>
      </c>
      <c r="AY180">
        <f t="shared" si="106"/>
        <v>0</v>
      </c>
      <c r="AZ180" t="s">
        <v>246</v>
      </c>
    </row>
    <row r="181" spans="1:52">
      <c r="A181">
        <v>180</v>
      </c>
      <c r="B181" s="14">
        <v>46180</v>
      </c>
      <c r="C181" t="s">
        <v>22</v>
      </c>
      <c r="D181" t="s">
        <v>2</v>
      </c>
      <c r="E181" t="s">
        <v>304</v>
      </c>
      <c r="F181" t="s">
        <v>14</v>
      </c>
      <c r="G181">
        <v>5</v>
      </c>
      <c r="H181">
        <v>7</v>
      </c>
      <c r="I181" t="s">
        <v>248</v>
      </c>
      <c r="J181" t="s">
        <v>248</v>
      </c>
      <c r="K181" t="s">
        <v>303</v>
      </c>
      <c r="L181" t="s">
        <v>191</v>
      </c>
      <c r="M181" t="s">
        <v>11</v>
      </c>
      <c r="N181" t="s">
        <v>198</v>
      </c>
      <c r="O181">
        <f t="shared" si="74"/>
        <v>1</v>
      </c>
      <c r="P181">
        <f t="shared" si="75"/>
        <v>1</v>
      </c>
      <c r="Q181">
        <f t="shared" si="76"/>
        <v>1</v>
      </c>
      <c r="R181">
        <f t="shared" si="77"/>
        <v>0</v>
      </c>
      <c r="S181">
        <f t="shared" si="78"/>
        <v>0</v>
      </c>
      <c r="T181">
        <f t="shared" si="79"/>
        <v>0</v>
      </c>
      <c r="U181">
        <f t="shared" si="80"/>
        <v>0</v>
      </c>
      <c r="V181">
        <f t="shared" si="81"/>
        <v>0</v>
      </c>
      <c r="W181">
        <f t="shared" si="82"/>
        <v>0</v>
      </c>
      <c r="X181">
        <f t="shared" si="83"/>
        <v>0</v>
      </c>
      <c r="Y181">
        <f t="shared" si="84"/>
        <v>0</v>
      </c>
      <c r="Z181">
        <f t="shared" si="85"/>
        <v>0</v>
      </c>
      <c r="AA181">
        <f t="shared" si="86"/>
        <v>1</v>
      </c>
      <c r="AB181">
        <f t="shared" si="87"/>
        <v>0</v>
      </c>
      <c r="AC181">
        <f t="shared" si="88"/>
        <v>0</v>
      </c>
      <c r="AD181">
        <f t="shared" si="89"/>
        <v>1</v>
      </c>
      <c r="AE181">
        <f t="shared" si="90"/>
        <v>1</v>
      </c>
      <c r="AF181">
        <f t="shared" si="91"/>
        <v>0</v>
      </c>
      <c r="AG181">
        <f t="shared" si="92"/>
        <v>0</v>
      </c>
      <c r="AH181">
        <f t="shared" si="93"/>
        <v>0</v>
      </c>
      <c r="AI181">
        <f t="shared" si="94"/>
        <v>0</v>
      </c>
      <c r="AJ181">
        <f t="shared" si="95"/>
        <v>0</v>
      </c>
      <c r="AK181">
        <f t="shared" si="96"/>
        <v>0</v>
      </c>
      <c r="AL181">
        <f t="shared" si="107"/>
        <v>0</v>
      </c>
      <c r="AM181">
        <f t="shared" si="108"/>
        <v>0</v>
      </c>
      <c r="AN181">
        <f t="shared" si="97"/>
        <v>0</v>
      </c>
      <c r="AO181">
        <f t="shared" si="98"/>
        <v>0</v>
      </c>
      <c r="AP181">
        <f t="shared" si="99"/>
        <v>0</v>
      </c>
      <c r="AQ181">
        <f t="shared" si="109"/>
        <v>0</v>
      </c>
      <c r="AR181">
        <f t="shared" si="110"/>
        <v>0</v>
      </c>
      <c r="AS181">
        <f t="shared" si="100"/>
        <v>0</v>
      </c>
      <c r="AT181">
        <f t="shared" si="101"/>
        <v>0</v>
      </c>
      <c r="AU181">
        <f t="shared" si="102"/>
        <v>0</v>
      </c>
      <c r="AV181">
        <f t="shared" si="103"/>
        <v>0</v>
      </c>
      <c r="AW181">
        <f t="shared" si="104"/>
        <v>0</v>
      </c>
      <c r="AX181">
        <f t="shared" si="105"/>
        <v>0</v>
      </c>
      <c r="AY181">
        <f t="shared" si="106"/>
        <v>0</v>
      </c>
      <c r="AZ181" t="s">
        <v>246</v>
      </c>
    </row>
    <row r="182" spans="1:52">
      <c r="A182">
        <v>181</v>
      </c>
      <c r="B182" s="14">
        <v>46180</v>
      </c>
      <c r="C182" t="s">
        <v>22</v>
      </c>
      <c r="D182" t="s">
        <v>2</v>
      </c>
      <c r="E182" t="s">
        <v>302</v>
      </c>
      <c r="F182" t="s">
        <v>16</v>
      </c>
      <c r="G182">
        <v>4</v>
      </c>
      <c r="H182">
        <v>8</v>
      </c>
      <c r="I182" t="s">
        <v>248</v>
      </c>
      <c r="J182" t="s">
        <v>248</v>
      </c>
      <c r="K182" t="s">
        <v>301</v>
      </c>
      <c r="L182" t="s">
        <v>300</v>
      </c>
      <c r="M182" t="s">
        <v>11</v>
      </c>
      <c r="N182" t="s">
        <v>198</v>
      </c>
      <c r="O182">
        <f t="shared" si="74"/>
        <v>1</v>
      </c>
      <c r="P182">
        <f t="shared" si="75"/>
        <v>0</v>
      </c>
      <c r="Q182">
        <f t="shared" si="76"/>
        <v>1</v>
      </c>
      <c r="R182">
        <f t="shared" si="77"/>
        <v>1</v>
      </c>
      <c r="S182">
        <f t="shared" si="78"/>
        <v>1</v>
      </c>
      <c r="T182">
        <f t="shared" si="79"/>
        <v>1</v>
      </c>
      <c r="U182">
        <f t="shared" si="80"/>
        <v>0</v>
      </c>
      <c r="V182">
        <f t="shared" si="81"/>
        <v>0</v>
      </c>
      <c r="W182">
        <f t="shared" si="82"/>
        <v>0</v>
      </c>
      <c r="X182">
        <f t="shared" si="83"/>
        <v>0</v>
      </c>
      <c r="Y182">
        <f t="shared" si="84"/>
        <v>0</v>
      </c>
      <c r="Z182">
        <f t="shared" si="85"/>
        <v>0</v>
      </c>
      <c r="AA182">
        <f t="shared" si="86"/>
        <v>0</v>
      </c>
      <c r="AB182">
        <f t="shared" si="87"/>
        <v>0</v>
      </c>
      <c r="AC182">
        <f t="shared" si="88"/>
        <v>0</v>
      </c>
      <c r="AD182">
        <f t="shared" si="89"/>
        <v>0</v>
      </c>
      <c r="AE182">
        <f t="shared" si="90"/>
        <v>0</v>
      </c>
      <c r="AF182">
        <f t="shared" si="91"/>
        <v>0</v>
      </c>
      <c r="AG182">
        <f t="shared" si="92"/>
        <v>0</v>
      </c>
      <c r="AH182">
        <f t="shared" si="93"/>
        <v>0</v>
      </c>
      <c r="AI182">
        <f t="shared" si="94"/>
        <v>0</v>
      </c>
      <c r="AJ182">
        <f t="shared" si="95"/>
        <v>0</v>
      </c>
      <c r="AK182">
        <f t="shared" si="96"/>
        <v>0</v>
      </c>
      <c r="AL182">
        <f t="shared" si="107"/>
        <v>0</v>
      </c>
      <c r="AM182">
        <f t="shared" si="108"/>
        <v>0</v>
      </c>
      <c r="AN182">
        <f t="shared" si="97"/>
        <v>0</v>
      </c>
      <c r="AO182">
        <f t="shared" si="98"/>
        <v>0</v>
      </c>
      <c r="AP182">
        <f t="shared" si="99"/>
        <v>0</v>
      </c>
      <c r="AQ182">
        <f t="shared" si="109"/>
        <v>0</v>
      </c>
      <c r="AR182">
        <f t="shared" si="110"/>
        <v>0</v>
      </c>
      <c r="AS182">
        <f t="shared" si="100"/>
        <v>0</v>
      </c>
      <c r="AT182">
        <f t="shared" si="101"/>
        <v>0</v>
      </c>
      <c r="AU182">
        <f t="shared" si="102"/>
        <v>0</v>
      </c>
      <c r="AV182">
        <f t="shared" si="103"/>
        <v>0</v>
      </c>
      <c r="AW182">
        <f t="shared" si="104"/>
        <v>0</v>
      </c>
      <c r="AX182">
        <f t="shared" si="105"/>
        <v>0</v>
      </c>
      <c r="AY182">
        <f t="shared" si="106"/>
        <v>0</v>
      </c>
      <c r="AZ182" t="s">
        <v>246</v>
      </c>
    </row>
    <row r="183" spans="1:52">
      <c r="A183">
        <v>182</v>
      </c>
      <c r="B183" s="14">
        <v>46180</v>
      </c>
      <c r="C183" t="s">
        <v>22</v>
      </c>
      <c r="D183" t="s">
        <v>7</v>
      </c>
      <c r="E183" t="s">
        <v>299</v>
      </c>
      <c r="F183" t="s">
        <v>3</v>
      </c>
      <c r="G183">
        <v>0</v>
      </c>
      <c r="H183">
        <v>2</v>
      </c>
      <c r="I183" t="s">
        <v>248</v>
      </c>
      <c r="J183" t="s">
        <v>248</v>
      </c>
      <c r="K183" t="s">
        <v>298</v>
      </c>
      <c r="L183" t="s">
        <v>191</v>
      </c>
      <c r="M183" t="s">
        <v>11</v>
      </c>
      <c r="N183" t="s">
        <v>190</v>
      </c>
      <c r="O183">
        <f t="shared" si="74"/>
        <v>0</v>
      </c>
      <c r="P183">
        <f t="shared" si="75"/>
        <v>0</v>
      </c>
      <c r="Q183">
        <f t="shared" si="76"/>
        <v>0</v>
      </c>
      <c r="R183">
        <f t="shared" si="77"/>
        <v>0</v>
      </c>
      <c r="S183">
        <f t="shared" si="78"/>
        <v>1</v>
      </c>
      <c r="T183">
        <f t="shared" si="79"/>
        <v>0</v>
      </c>
      <c r="U183">
        <f t="shared" si="80"/>
        <v>0</v>
      </c>
      <c r="V183">
        <f t="shared" si="81"/>
        <v>0</v>
      </c>
      <c r="W183">
        <f t="shared" si="82"/>
        <v>0</v>
      </c>
      <c r="X183">
        <f t="shared" si="83"/>
        <v>0</v>
      </c>
      <c r="Y183">
        <f t="shared" si="84"/>
        <v>0</v>
      </c>
      <c r="Z183">
        <f t="shared" si="85"/>
        <v>0</v>
      </c>
      <c r="AA183">
        <f t="shared" si="86"/>
        <v>0</v>
      </c>
      <c r="AB183">
        <f t="shared" si="87"/>
        <v>0</v>
      </c>
      <c r="AC183">
        <f t="shared" si="88"/>
        <v>0</v>
      </c>
      <c r="AD183">
        <f t="shared" si="89"/>
        <v>0</v>
      </c>
      <c r="AE183">
        <f t="shared" si="90"/>
        <v>0</v>
      </c>
      <c r="AF183">
        <f t="shared" si="91"/>
        <v>0</v>
      </c>
      <c r="AG183">
        <f t="shared" si="92"/>
        <v>0</v>
      </c>
      <c r="AH183">
        <f t="shared" si="93"/>
        <v>0</v>
      </c>
      <c r="AI183">
        <f t="shared" si="94"/>
        <v>0</v>
      </c>
      <c r="AJ183">
        <f t="shared" si="95"/>
        <v>0</v>
      </c>
      <c r="AK183">
        <f t="shared" si="96"/>
        <v>1</v>
      </c>
      <c r="AL183">
        <f t="shared" si="107"/>
        <v>0</v>
      </c>
      <c r="AM183">
        <f t="shared" si="108"/>
        <v>0</v>
      </c>
      <c r="AN183">
        <f t="shared" si="97"/>
        <v>0</v>
      </c>
      <c r="AO183">
        <f t="shared" si="98"/>
        <v>0</v>
      </c>
      <c r="AP183">
        <f t="shared" si="99"/>
        <v>0</v>
      </c>
      <c r="AQ183">
        <f t="shared" si="109"/>
        <v>0</v>
      </c>
      <c r="AR183">
        <f t="shared" si="110"/>
        <v>0</v>
      </c>
      <c r="AS183">
        <f t="shared" si="100"/>
        <v>0</v>
      </c>
      <c r="AT183">
        <f t="shared" si="101"/>
        <v>0</v>
      </c>
      <c r="AU183">
        <f t="shared" si="102"/>
        <v>0</v>
      </c>
      <c r="AV183">
        <f t="shared" si="103"/>
        <v>0</v>
      </c>
      <c r="AW183">
        <f t="shared" si="104"/>
        <v>0</v>
      </c>
      <c r="AX183">
        <f t="shared" si="105"/>
        <v>0</v>
      </c>
      <c r="AY183">
        <f t="shared" si="106"/>
        <v>0</v>
      </c>
      <c r="AZ183" t="s">
        <v>246</v>
      </c>
    </row>
    <row r="184" spans="1:52">
      <c r="A184">
        <v>183</v>
      </c>
      <c r="B184" s="14">
        <v>46180</v>
      </c>
      <c r="C184" t="s">
        <v>22</v>
      </c>
      <c r="D184" t="s">
        <v>7</v>
      </c>
      <c r="E184" t="s">
        <v>297</v>
      </c>
      <c r="F184" t="s">
        <v>5</v>
      </c>
      <c r="G184">
        <v>3</v>
      </c>
      <c r="H184">
        <v>5</v>
      </c>
      <c r="I184" t="s">
        <v>248</v>
      </c>
      <c r="J184" t="s">
        <v>248</v>
      </c>
      <c r="K184" t="s">
        <v>296</v>
      </c>
      <c r="L184" t="s">
        <v>191</v>
      </c>
      <c r="M184" t="s">
        <v>11</v>
      </c>
      <c r="N184" t="s">
        <v>190</v>
      </c>
      <c r="O184">
        <f t="shared" si="74"/>
        <v>1</v>
      </c>
      <c r="P184">
        <f t="shared" si="75"/>
        <v>0</v>
      </c>
      <c r="Q184">
        <f t="shared" si="76"/>
        <v>0</v>
      </c>
      <c r="R184">
        <f t="shared" si="77"/>
        <v>0</v>
      </c>
      <c r="S184">
        <f t="shared" si="78"/>
        <v>1</v>
      </c>
      <c r="T184">
        <f t="shared" si="79"/>
        <v>0</v>
      </c>
      <c r="U184">
        <f t="shared" si="80"/>
        <v>0</v>
      </c>
      <c r="V184">
        <f t="shared" si="81"/>
        <v>0</v>
      </c>
      <c r="W184">
        <f t="shared" si="82"/>
        <v>0</v>
      </c>
      <c r="X184">
        <f t="shared" si="83"/>
        <v>0</v>
      </c>
      <c r="Y184">
        <f t="shared" si="84"/>
        <v>0</v>
      </c>
      <c r="Z184">
        <f t="shared" si="85"/>
        <v>0</v>
      </c>
      <c r="AA184">
        <f t="shared" si="86"/>
        <v>0</v>
      </c>
      <c r="AB184">
        <f t="shared" si="87"/>
        <v>0</v>
      </c>
      <c r="AC184">
        <f t="shared" si="88"/>
        <v>0</v>
      </c>
      <c r="AD184">
        <f t="shared" si="89"/>
        <v>0</v>
      </c>
      <c r="AE184">
        <f t="shared" si="90"/>
        <v>0</v>
      </c>
      <c r="AF184">
        <f t="shared" si="91"/>
        <v>0</v>
      </c>
      <c r="AG184">
        <f t="shared" si="92"/>
        <v>0</v>
      </c>
      <c r="AH184">
        <f t="shared" si="93"/>
        <v>0</v>
      </c>
      <c r="AI184">
        <f t="shared" si="94"/>
        <v>0</v>
      </c>
      <c r="AJ184">
        <f t="shared" si="95"/>
        <v>0</v>
      </c>
      <c r="AK184">
        <f t="shared" si="96"/>
        <v>0</v>
      </c>
      <c r="AL184">
        <f t="shared" si="107"/>
        <v>0</v>
      </c>
      <c r="AM184">
        <f t="shared" si="108"/>
        <v>0</v>
      </c>
      <c r="AN184">
        <f t="shared" si="97"/>
        <v>0</v>
      </c>
      <c r="AO184">
        <f t="shared" si="98"/>
        <v>0</v>
      </c>
      <c r="AP184">
        <f t="shared" si="99"/>
        <v>0</v>
      </c>
      <c r="AQ184">
        <f t="shared" si="109"/>
        <v>0</v>
      </c>
      <c r="AR184">
        <f t="shared" si="110"/>
        <v>0</v>
      </c>
      <c r="AS184">
        <f t="shared" si="100"/>
        <v>0</v>
      </c>
      <c r="AT184">
        <f t="shared" si="101"/>
        <v>0</v>
      </c>
      <c r="AU184">
        <f t="shared" si="102"/>
        <v>0</v>
      </c>
      <c r="AV184">
        <f t="shared" si="103"/>
        <v>0</v>
      </c>
      <c r="AW184">
        <f t="shared" si="104"/>
        <v>0</v>
      </c>
      <c r="AX184">
        <f t="shared" si="105"/>
        <v>0</v>
      </c>
      <c r="AY184">
        <f t="shared" si="106"/>
        <v>0</v>
      </c>
      <c r="AZ184" t="s">
        <v>246</v>
      </c>
    </row>
    <row r="185" spans="1:52">
      <c r="A185">
        <v>184</v>
      </c>
      <c r="B185" s="14">
        <v>46180</v>
      </c>
      <c r="C185" t="s">
        <v>22</v>
      </c>
      <c r="D185" t="s">
        <v>7</v>
      </c>
      <c r="E185" t="s">
        <v>295</v>
      </c>
      <c r="F185" t="s">
        <v>16</v>
      </c>
      <c r="G185">
        <v>1</v>
      </c>
      <c r="H185">
        <v>3</v>
      </c>
      <c r="I185">
        <v>1</v>
      </c>
      <c r="J185">
        <v>4.5</v>
      </c>
      <c r="K185" t="s">
        <v>294</v>
      </c>
      <c r="L185" t="s">
        <v>191</v>
      </c>
      <c r="M185" t="s">
        <v>11</v>
      </c>
      <c r="N185" t="s">
        <v>206</v>
      </c>
      <c r="O185">
        <f t="shared" si="74"/>
        <v>1</v>
      </c>
      <c r="P185">
        <f t="shared" si="75"/>
        <v>0</v>
      </c>
      <c r="Q185">
        <f t="shared" si="76"/>
        <v>1</v>
      </c>
      <c r="R185">
        <f t="shared" si="77"/>
        <v>1</v>
      </c>
      <c r="S185">
        <f t="shared" si="78"/>
        <v>0</v>
      </c>
      <c r="T185">
        <f t="shared" si="79"/>
        <v>0</v>
      </c>
      <c r="U185">
        <f t="shared" si="80"/>
        <v>0</v>
      </c>
      <c r="V185">
        <f t="shared" si="81"/>
        <v>0</v>
      </c>
      <c r="W185">
        <f t="shared" si="82"/>
        <v>0</v>
      </c>
      <c r="X185">
        <f t="shared" si="83"/>
        <v>0</v>
      </c>
      <c r="Y185">
        <f t="shared" si="84"/>
        <v>0</v>
      </c>
      <c r="Z185">
        <f t="shared" si="85"/>
        <v>0</v>
      </c>
      <c r="AA185">
        <f t="shared" si="86"/>
        <v>0</v>
      </c>
      <c r="AB185">
        <f t="shared" si="87"/>
        <v>0</v>
      </c>
      <c r="AC185">
        <f t="shared" si="88"/>
        <v>0</v>
      </c>
      <c r="AD185">
        <f t="shared" si="89"/>
        <v>0</v>
      </c>
      <c r="AE185">
        <f t="shared" si="90"/>
        <v>0</v>
      </c>
      <c r="AF185">
        <f t="shared" si="91"/>
        <v>0</v>
      </c>
      <c r="AG185">
        <f t="shared" si="92"/>
        <v>0</v>
      </c>
      <c r="AH185">
        <f t="shared" si="93"/>
        <v>0</v>
      </c>
      <c r="AI185">
        <f t="shared" si="94"/>
        <v>0</v>
      </c>
      <c r="AJ185">
        <f t="shared" si="95"/>
        <v>0</v>
      </c>
      <c r="AK185">
        <f t="shared" si="96"/>
        <v>0</v>
      </c>
      <c r="AL185">
        <f t="shared" si="107"/>
        <v>0</v>
      </c>
      <c r="AM185">
        <f t="shared" si="108"/>
        <v>0</v>
      </c>
      <c r="AN185">
        <f t="shared" si="97"/>
        <v>0</v>
      </c>
      <c r="AO185">
        <f t="shared" si="98"/>
        <v>0</v>
      </c>
      <c r="AP185">
        <f t="shared" si="99"/>
        <v>0</v>
      </c>
      <c r="AQ185">
        <f t="shared" si="109"/>
        <v>0</v>
      </c>
      <c r="AR185">
        <f t="shared" si="110"/>
        <v>0</v>
      </c>
      <c r="AS185">
        <f t="shared" si="100"/>
        <v>0</v>
      </c>
      <c r="AT185">
        <f t="shared" si="101"/>
        <v>0</v>
      </c>
      <c r="AU185">
        <f t="shared" si="102"/>
        <v>0</v>
      </c>
      <c r="AV185">
        <f t="shared" si="103"/>
        <v>0</v>
      </c>
      <c r="AW185">
        <f t="shared" si="104"/>
        <v>0</v>
      </c>
      <c r="AX185">
        <f t="shared" si="105"/>
        <v>0</v>
      </c>
      <c r="AY185">
        <f t="shared" si="106"/>
        <v>0</v>
      </c>
      <c r="AZ185" t="s">
        <v>246</v>
      </c>
    </row>
    <row r="186" spans="1:52" ht="28.8">
      <c r="A186">
        <v>185</v>
      </c>
      <c r="B186" s="14">
        <v>46180</v>
      </c>
      <c r="C186" t="s">
        <v>22</v>
      </c>
      <c r="D186" t="s">
        <v>7</v>
      </c>
      <c r="E186" s="2" t="s">
        <v>293</v>
      </c>
      <c r="F186" t="s">
        <v>12</v>
      </c>
      <c r="G186">
        <v>0</v>
      </c>
      <c r="H186">
        <v>2</v>
      </c>
      <c r="I186" t="s">
        <v>248</v>
      </c>
      <c r="J186" t="s">
        <v>248</v>
      </c>
      <c r="K186" t="s">
        <v>292</v>
      </c>
      <c r="L186" t="s">
        <v>191</v>
      </c>
      <c r="M186" t="s">
        <v>11</v>
      </c>
      <c r="N186" t="s">
        <v>190</v>
      </c>
      <c r="O186">
        <f t="shared" si="74"/>
        <v>1</v>
      </c>
      <c r="P186">
        <f t="shared" si="75"/>
        <v>0</v>
      </c>
      <c r="Q186">
        <f t="shared" si="76"/>
        <v>0</v>
      </c>
      <c r="R186">
        <f t="shared" si="77"/>
        <v>1</v>
      </c>
      <c r="S186">
        <f t="shared" si="78"/>
        <v>1</v>
      </c>
      <c r="T186">
        <f t="shared" si="79"/>
        <v>0</v>
      </c>
      <c r="U186">
        <f t="shared" si="80"/>
        <v>0</v>
      </c>
      <c r="V186">
        <f t="shared" si="81"/>
        <v>0</v>
      </c>
      <c r="W186">
        <f t="shared" si="82"/>
        <v>0</v>
      </c>
      <c r="X186">
        <f t="shared" si="83"/>
        <v>0</v>
      </c>
      <c r="Y186">
        <f t="shared" si="84"/>
        <v>0</v>
      </c>
      <c r="Z186">
        <f t="shared" si="85"/>
        <v>0</v>
      </c>
      <c r="AA186">
        <f t="shared" si="86"/>
        <v>0</v>
      </c>
      <c r="AB186">
        <f t="shared" si="87"/>
        <v>0</v>
      </c>
      <c r="AC186">
        <f t="shared" si="88"/>
        <v>0</v>
      </c>
      <c r="AD186">
        <f t="shared" si="89"/>
        <v>0</v>
      </c>
      <c r="AE186">
        <f t="shared" si="90"/>
        <v>0</v>
      </c>
      <c r="AF186">
        <f t="shared" si="91"/>
        <v>0</v>
      </c>
      <c r="AG186">
        <f t="shared" si="92"/>
        <v>0</v>
      </c>
      <c r="AH186">
        <f t="shared" si="93"/>
        <v>0</v>
      </c>
      <c r="AI186">
        <f t="shared" si="94"/>
        <v>0</v>
      </c>
      <c r="AJ186">
        <f t="shared" si="95"/>
        <v>0</v>
      </c>
      <c r="AK186">
        <f t="shared" si="96"/>
        <v>0</v>
      </c>
      <c r="AL186">
        <f t="shared" si="107"/>
        <v>0</v>
      </c>
      <c r="AM186">
        <f t="shared" si="108"/>
        <v>0</v>
      </c>
      <c r="AN186">
        <f t="shared" si="97"/>
        <v>0</v>
      </c>
      <c r="AO186">
        <f t="shared" si="98"/>
        <v>0</v>
      </c>
      <c r="AP186">
        <f t="shared" si="99"/>
        <v>0</v>
      </c>
      <c r="AQ186">
        <f t="shared" si="109"/>
        <v>0</v>
      </c>
      <c r="AR186">
        <f t="shared" si="110"/>
        <v>0</v>
      </c>
      <c r="AS186">
        <f t="shared" si="100"/>
        <v>0</v>
      </c>
      <c r="AT186">
        <f t="shared" si="101"/>
        <v>0</v>
      </c>
      <c r="AU186">
        <f t="shared" si="102"/>
        <v>0</v>
      </c>
      <c r="AV186">
        <f t="shared" si="103"/>
        <v>0</v>
      </c>
      <c r="AW186">
        <f t="shared" si="104"/>
        <v>0</v>
      </c>
      <c r="AX186">
        <f t="shared" si="105"/>
        <v>0</v>
      </c>
      <c r="AY186">
        <f t="shared" si="106"/>
        <v>0</v>
      </c>
      <c r="AZ186" t="s">
        <v>246</v>
      </c>
    </row>
    <row r="187" spans="1:52">
      <c r="A187">
        <v>186</v>
      </c>
      <c r="B187" s="14">
        <v>46180</v>
      </c>
      <c r="C187" t="s">
        <v>22</v>
      </c>
      <c r="D187" t="s">
        <v>7</v>
      </c>
      <c r="E187" t="s">
        <v>291</v>
      </c>
      <c r="F187" t="s">
        <v>17</v>
      </c>
      <c r="G187">
        <v>0</v>
      </c>
      <c r="H187">
        <v>2</v>
      </c>
      <c r="I187" t="s">
        <v>248</v>
      </c>
      <c r="J187" t="s">
        <v>248</v>
      </c>
      <c r="K187" t="s">
        <v>290</v>
      </c>
      <c r="L187" t="s">
        <v>191</v>
      </c>
      <c r="M187" t="s">
        <v>11</v>
      </c>
      <c r="N187" t="s">
        <v>190</v>
      </c>
      <c r="O187">
        <f t="shared" si="74"/>
        <v>0</v>
      </c>
      <c r="P187">
        <f t="shared" si="75"/>
        <v>0</v>
      </c>
      <c r="Q187">
        <f t="shared" si="76"/>
        <v>0</v>
      </c>
      <c r="R187">
        <f t="shared" si="77"/>
        <v>0</v>
      </c>
      <c r="S187">
        <f t="shared" si="78"/>
        <v>0</v>
      </c>
      <c r="T187">
        <f t="shared" si="79"/>
        <v>0</v>
      </c>
      <c r="U187">
        <f t="shared" si="80"/>
        <v>0</v>
      </c>
      <c r="V187">
        <f t="shared" si="81"/>
        <v>0</v>
      </c>
      <c r="W187">
        <f t="shared" si="82"/>
        <v>0</v>
      </c>
      <c r="X187">
        <f t="shared" si="83"/>
        <v>0</v>
      </c>
      <c r="Y187">
        <f t="shared" si="84"/>
        <v>0</v>
      </c>
      <c r="Z187">
        <f t="shared" si="85"/>
        <v>0</v>
      </c>
      <c r="AA187">
        <f t="shared" si="86"/>
        <v>0</v>
      </c>
      <c r="AB187">
        <f t="shared" si="87"/>
        <v>0</v>
      </c>
      <c r="AC187">
        <f t="shared" si="88"/>
        <v>0</v>
      </c>
      <c r="AD187">
        <f t="shared" si="89"/>
        <v>0</v>
      </c>
      <c r="AE187">
        <f t="shared" si="90"/>
        <v>0</v>
      </c>
      <c r="AF187">
        <f t="shared" si="91"/>
        <v>0</v>
      </c>
      <c r="AG187">
        <f t="shared" si="92"/>
        <v>0</v>
      </c>
      <c r="AH187">
        <f t="shared" si="93"/>
        <v>0</v>
      </c>
      <c r="AI187">
        <f t="shared" si="94"/>
        <v>0</v>
      </c>
      <c r="AJ187">
        <f t="shared" si="95"/>
        <v>0</v>
      </c>
      <c r="AK187">
        <f t="shared" si="96"/>
        <v>1</v>
      </c>
      <c r="AL187">
        <f t="shared" si="107"/>
        <v>0</v>
      </c>
      <c r="AM187">
        <f t="shared" si="108"/>
        <v>0</v>
      </c>
      <c r="AN187">
        <f t="shared" si="97"/>
        <v>0</v>
      </c>
      <c r="AO187">
        <f t="shared" si="98"/>
        <v>0</v>
      </c>
      <c r="AP187">
        <f t="shared" si="99"/>
        <v>0</v>
      </c>
      <c r="AQ187">
        <f t="shared" si="109"/>
        <v>0</v>
      </c>
      <c r="AR187">
        <f t="shared" si="110"/>
        <v>0</v>
      </c>
      <c r="AS187">
        <f t="shared" si="100"/>
        <v>0</v>
      </c>
      <c r="AT187">
        <f t="shared" si="101"/>
        <v>0</v>
      </c>
      <c r="AU187">
        <f t="shared" si="102"/>
        <v>0</v>
      </c>
      <c r="AV187">
        <f t="shared" si="103"/>
        <v>0</v>
      </c>
      <c r="AW187">
        <f t="shared" si="104"/>
        <v>0</v>
      </c>
      <c r="AX187">
        <f t="shared" si="105"/>
        <v>0</v>
      </c>
      <c r="AY187">
        <f t="shared" si="106"/>
        <v>0</v>
      </c>
      <c r="AZ187" t="s">
        <v>246</v>
      </c>
    </row>
    <row r="188" spans="1:52">
      <c r="A188">
        <v>187</v>
      </c>
      <c r="B188" s="14">
        <v>46180</v>
      </c>
      <c r="C188" t="s">
        <v>22</v>
      </c>
      <c r="D188" t="s">
        <v>7</v>
      </c>
      <c r="E188" t="s">
        <v>289</v>
      </c>
      <c r="F188" t="s">
        <v>13</v>
      </c>
      <c r="G188">
        <v>3</v>
      </c>
      <c r="H188">
        <v>5</v>
      </c>
      <c r="I188" t="s">
        <v>248</v>
      </c>
      <c r="J188" t="s">
        <v>248</v>
      </c>
      <c r="K188" t="s">
        <v>288</v>
      </c>
      <c r="L188" t="s">
        <v>191</v>
      </c>
      <c r="M188" t="s">
        <v>11</v>
      </c>
      <c r="N188" t="s">
        <v>198</v>
      </c>
      <c r="O188">
        <f t="shared" si="74"/>
        <v>0</v>
      </c>
      <c r="P188">
        <f t="shared" si="75"/>
        <v>0</v>
      </c>
      <c r="Q188">
        <f t="shared" si="76"/>
        <v>1</v>
      </c>
      <c r="R188">
        <f t="shared" si="77"/>
        <v>1</v>
      </c>
      <c r="S188">
        <f t="shared" si="78"/>
        <v>0</v>
      </c>
      <c r="T188">
        <f t="shared" si="79"/>
        <v>0</v>
      </c>
      <c r="U188">
        <f t="shared" si="80"/>
        <v>0</v>
      </c>
      <c r="V188">
        <f t="shared" si="81"/>
        <v>0</v>
      </c>
      <c r="W188">
        <f t="shared" si="82"/>
        <v>0</v>
      </c>
      <c r="X188">
        <f t="shared" si="83"/>
        <v>0</v>
      </c>
      <c r="Y188">
        <f t="shared" si="84"/>
        <v>0</v>
      </c>
      <c r="Z188">
        <f t="shared" si="85"/>
        <v>0</v>
      </c>
      <c r="AA188">
        <f t="shared" si="86"/>
        <v>0</v>
      </c>
      <c r="AB188">
        <f t="shared" si="87"/>
        <v>0</v>
      </c>
      <c r="AC188">
        <f t="shared" si="88"/>
        <v>0</v>
      </c>
      <c r="AD188">
        <f t="shared" si="89"/>
        <v>0</v>
      </c>
      <c r="AE188">
        <f t="shared" si="90"/>
        <v>0</v>
      </c>
      <c r="AF188">
        <f t="shared" si="91"/>
        <v>0</v>
      </c>
      <c r="AG188">
        <f t="shared" si="92"/>
        <v>0</v>
      </c>
      <c r="AH188">
        <f t="shared" si="93"/>
        <v>0</v>
      </c>
      <c r="AI188">
        <f t="shared" si="94"/>
        <v>0</v>
      </c>
      <c r="AJ188">
        <f t="shared" si="95"/>
        <v>0</v>
      </c>
      <c r="AK188">
        <f t="shared" si="96"/>
        <v>1</v>
      </c>
      <c r="AL188">
        <f t="shared" si="107"/>
        <v>0</v>
      </c>
      <c r="AM188">
        <f t="shared" si="108"/>
        <v>0</v>
      </c>
      <c r="AN188">
        <f t="shared" si="97"/>
        <v>0</v>
      </c>
      <c r="AO188">
        <f t="shared" si="98"/>
        <v>0</v>
      </c>
      <c r="AP188">
        <f t="shared" si="99"/>
        <v>0</v>
      </c>
      <c r="AQ188">
        <f t="shared" si="109"/>
        <v>0</v>
      </c>
      <c r="AR188">
        <f t="shared" si="110"/>
        <v>0</v>
      </c>
      <c r="AS188">
        <f t="shared" si="100"/>
        <v>0</v>
      </c>
      <c r="AT188">
        <f t="shared" si="101"/>
        <v>0</v>
      </c>
      <c r="AU188">
        <f t="shared" si="102"/>
        <v>0</v>
      </c>
      <c r="AV188">
        <f t="shared" si="103"/>
        <v>0</v>
      </c>
      <c r="AW188">
        <f t="shared" si="104"/>
        <v>0</v>
      </c>
      <c r="AX188">
        <f t="shared" si="105"/>
        <v>0</v>
      </c>
      <c r="AY188">
        <f t="shared" si="106"/>
        <v>0</v>
      </c>
      <c r="AZ188" t="s">
        <v>246</v>
      </c>
    </row>
    <row r="189" spans="1:52">
      <c r="A189">
        <v>188</v>
      </c>
      <c r="B189" s="14">
        <v>46180</v>
      </c>
      <c r="C189" t="s">
        <v>22</v>
      </c>
      <c r="D189" t="s">
        <v>4</v>
      </c>
      <c r="E189" t="s">
        <v>287</v>
      </c>
      <c r="F189" t="s">
        <v>6</v>
      </c>
      <c r="G189">
        <v>2</v>
      </c>
      <c r="H189">
        <v>5</v>
      </c>
      <c r="I189" t="s">
        <v>248</v>
      </c>
      <c r="J189" t="s">
        <v>248</v>
      </c>
      <c r="K189" t="s">
        <v>286</v>
      </c>
      <c r="L189" t="s">
        <v>285</v>
      </c>
      <c r="M189" t="s">
        <v>11</v>
      </c>
      <c r="N189" t="s">
        <v>190</v>
      </c>
      <c r="O189">
        <f t="shared" si="74"/>
        <v>0</v>
      </c>
      <c r="P189">
        <f t="shared" si="75"/>
        <v>0</v>
      </c>
      <c r="Q189">
        <f t="shared" si="76"/>
        <v>0</v>
      </c>
      <c r="R189">
        <f t="shared" si="77"/>
        <v>0</v>
      </c>
      <c r="S189">
        <f t="shared" si="78"/>
        <v>1</v>
      </c>
      <c r="T189">
        <f t="shared" si="79"/>
        <v>0</v>
      </c>
      <c r="U189">
        <f t="shared" si="80"/>
        <v>0</v>
      </c>
      <c r="V189">
        <f t="shared" si="81"/>
        <v>0</v>
      </c>
      <c r="W189">
        <f t="shared" si="82"/>
        <v>0</v>
      </c>
      <c r="X189">
        <f t="shared" si="83"/>
        <v>0</v>
      </c>
      <c r="Y189">
        <f t="shared" si="84"/>
        <v>0</v>
      </c>
      <c r="Z189">
        <f t="shared" si="85"/>
        <v>0</v>
      </c>
      <c r="AA189">
        <f t="shared" si="86"/>
        <v>0</v>
      </c>
      <c r="AB189">
        <f t="shared" si="87"/>
        <v>0</v>
      </c>
      <c r="AC189">
        <f t="shared" si="88"/>
        <v>0</v>
      </c>
      <c r="AD189">
        <f t="shared" si="89"/>
        <v>0</v>
      </c>
      <c r="AE189">
        <f t="shared" si="90"/>
        <v>0</v>
      </c>
      <c r="AF189">
        <f t="shared" si="91"/>
        <v>0</v>
      </c>
      <c r="AG189">
        <f t="shared" si="92"/>
        <v>0</v>
      </c>
      <c r="AH189">
        <f t="shared" si="93"/>
        <v>0</v>
      </c>
      <c r="AI189">
        <f t="shared" si="94"/>
        <v>0</v>
      </c>
      <c r="AJ189">
        <f t="shared" si="95"/>
        <v>0</v>
      </c>
      <c r="AK189">
        <f t="shared" si="96"/>
        <v>1</v>
      </c>
      <c r="AL189">
        <f t="shared" si="107"/>
        <v>0</v>
      </c>
      <c r="AM189">
        <f t="shared" si="108"/>
        <v>0</v>
      </c>
      <c r="AN189">
        <f t="shared" si="97"/>
        <v>0</v>
      </c>
      <c r="AO189">
        <f t="shared" si="98"/>
        <v>0</v>
      </c>
      <c r="AP189">
        <f t="shared" si="99"/>
        <v>0</v>
      </c>
      <c r="AQ189">
        <f t="shared" si="109"/>
        <v>0</v>
      </c>
      <c r="AR189">
        <f t="shared" si="110"/>
        <v>0</v>
      </c>
      <c r="AS189">
        <f t="shared" si="100"/>
        <v>0</v>
      </c>
      <c r="AT189">
        <f t="shared" si="101"/>
        <v>0</v>
      </c>
      <c r="AU189">
        <f t="shared" si="102"/>
        <v>0</v>
      </c>
      <c r="AV189">
        <f t="shared" si="103"/>
        <v>0</v>
      </c>
      <c r="AW189">
        <f t="shared" si="104"/>
        <v>0</v>
      </c>
      <c r="AX189">
        <f t="shared" si="105"/>
        <v>0</v>
      </c>
      <c r="AY189">
        <f t="shared" si="106"/>
        <v>0</v>
      </c>
      <c r="AZ189" t="s">
        <v>246</v>
      </c>
    </row>
    <row r="190" spans="1:52">
      <c r="A190">
        <v>189</v>
      </c>
      <c r="B190" s="14">
        <v>46180</v>
      </c>
      <c r="C190" t="s">
        <v>22</v>
      </c>
      <c r="D190" t="s">
        <v>7</v>
      </c>
      <c r="E190" t="s">
        <v>284</v>
      </c>
      <c r="F190" t="s">
        <v>12</v>
      </c>
      <c r="G190">
        <v>2</v>
      </c>
      <c r="H190">
        <v>4</v>
      </c>
      <c r="I190" t="s">
        <v>248</v>
      </c>
      <c r="J190" t="s">
        <v>248</v>
      </c>
      <c r="K190" t="s">
        <v>283</v>
      </c>
      <c r="L190" t="s">
        <v>191</v>
      </c>
      <c r="M190" t="s">
        <v>11</v>
      </c>
      <c r="N190" t="s">
        <v>190</v>
      </c>
      <c r="O190">
        <f t="shared" si="74"/>
        <v>0</v>
      </c>
      <c r="P190">
        <f t="shared" si="75"/>
        <v>0</v>
      </c>
      <c r="Q190">
        <f t="shared" si="76"/>
        <v>0</v>
      </c>
      <c r="R190">
        <f t="shared" si="77"/>
        <v>1</v>
      </c>
      <c r="S190">
        <f t="shared" si="78"/>
        <v>1</v>
      </c>
      <c r="T190">
        <f t="shared" si="79"/>
        <v>0</v>
      </c>
      <c r="U190">
        <f t="shared" si="80"/>
        <v>0</v>
      </c>
      <c r="V190">
        <f t="shared" si="81"/>
        <v>0</v>
      </c>
      <c r="W190">
        <f t="shared" si="82"/>
        <v>0</v>
      </c>
      <c r="X190">
        <f t="shared" si="83"/>
        <v>0</v>
      </c>
      <c r="Y190">
        <f t="shared" si="84"/>
        <v>0</v>
      </c>
      <c r="Z190">
        <f t="shared" si="85"/>
        <v>0</v>
      </c>
      <c r="AA190">
        <f t="shared" si="86"/>
        <v>0</v>
      </c>
      <c r="AB190">
        <f t="shared" si="87"/>
        <v>0</v>
      </c>
      <c r="AC190">
        <f t="shared" si="88"/>
        <v>0</v>
      </c>
      <c r="AD190">
        <f t="shared" si="89"/>
        <v>0</v>
      </c>
      <c r="AE190">
        <f t="shared" si="90"/>
        <v>0</v>
      </c>
      <c r="AF190">
        <f t="shared" si="91"/>
        <v>0</v>
      </c>
      <c r="AG190">
        <f t="shared" si="92"/>
        <v>0</v>
      </c>
      <c r="AH190">
        <f t="shared" si="93"/>
        <v>0</v>
      </c>
      <c r="AI190">
        <f t="shared" si="94"/>
        <v>0</v>
      </c>
      <c r="AJ190">
        <f t="shared" si="95"/>
        <v>0</v>
      </c>
      <c r="AK190">
        <f t="shared" si="96"/>
        <v>0</v>
      </c>
      <c r="AL190">
        <f t="shared" si="107"/>
        <v>0</v>
      </c>
      <c r="AM190">
        <f t="shared" si="108"/>
        <v>0</v>
      </c>
      <c r="AN190">
        <f t="shared" si="97"/>
        <v>0</v>
      </c>
      <c r="AO190">
        <f t="shared" si="98"/>
        <v>0</v>
      </c>
      <c r="AP190">
        <f t="shared" si="99"/>
        <v>0</v>
      </c>
      <c r="AQ190">
        <f t="shared" si="109"/>
        <v>0</v>
      </c>
      <c r="AR190">
        <f t="shared" si="110"/>
        <v>0</v>
      </c>
      <c r="AS190">
        <f t="shared" si="100"/>
        <v>0</v>
      </c>
      <c r="AT190">
        <f t="shared" si="101"/>
        <v>0</v>
      </c>
      <c r="AU190">
        <f t="shared" si="102"/>
        <v>0</v>
      </c>
      <c r="AV190">
        <f t="shared" si="103"/>
        <v>0</v>
      </c>
      <c r="AW190">
        <f t="shared" si="104"/>
        <v>0</v>
      </c>
      <c r="AX190">
        <f t="shared" si="105"/>
        <v>0</v>
      </c>
      <c r="AY190">
        <f t="shared" si="106"/>
        <v>0</v>
      </c>
      <c r="AZ190" t="s">
        <v>246</v>
      </c>
    </row>
    <row r="191" spans="1:52">
      <c r="A191">
        <v>190</v>
      </c>
      <c r="B191" s="14">
        <v>46180</v>
      </c>
      <c r="C191" t="s">
        <v>22</v>
      </c>
      <c r="D191" t="s">
        <v>7</v>
      </c>
      <c r="E191" t="s">
        <v>282</v>
      </c>
      <c r="F191" t="s">
        <v>6</v>
      </c>
      <c r="G191">
        <v>1</v>
      </c>
      <c r="H191">
        <v>5</v>
      </c>
      <c r="I191" t="s">
        <v>248</v>
      </c>
      <c r="J191" t="s">
        <v>248</v>
      </c>
      <c r="K191" t="s">
        <v>281</v>
      </c>
      <c r="L191" t="s">
        <v>191</v>
      </c>
      <c r="M191" t="s">
        <v>11</v>
      </c>
      <c r="N191" t="s">
        <v>206</v>
      </c>
      <c r="O191">
        <f t="shared" si="74"/>
        <v>0</v>
      </c>
      <c r="P191">
        <f t="shared" si="75"/>
        <v>0</v>
      </c>
      <c r="Q191">
        <f t="shared" si="76"/>
        <v>0</v>
      </c>
      <c r="R191">
        <f t="shared" si="77"/>
        <v>0</v>
      </c>
      <c r="S191">
        <f t="shared" si="78"/>
        <v>1</v>
      </c>
      <c r="T191">
        <f t="shared" si="79"/>
        <v>0</v>
      </c>
      <c r="U191">
        <f t="shared" si="80"/>
        <v>0</v>
      </c>
      <c r="V191">
        <f t="shared" si="81"/>
        <v>0</v>
      </c>
      <c r="W191">
        <f t="shared" si="82"/>
        <v>0</v>
      </c>
      <c r="X191">
        <f t="shared" si="83"/>
        <v>0</v>
      </c>
      <c r="Y191">
        <f t="shared" si="84"/>
        <v>0</v>
      </c>
      <c r="Z191">
        <f t="shared" si="85"/>
        <v>0</v>
      </c>
      <c r="AA191">
        <f t="shared" si="86"/>
        <v>0</v>
      </c>
      <c r="AB191">
        <f t="shared" si="87"/>
        <v>0</v>
      </c>
      <c r="AC191">
        <f t="shared" si="88"/>
        <v>0</v>
      </c>
      <c r="AD191">
        <f t="shared" si="89"/>
        <v>0</v>
      </c>
      <c r="AE191">
        <f t="shared" si="90"/>
        <v>0</v>
      </c>
      <c r="AF191">
        <f t="shared" si="91"/>
        <v>0</v>
      </c>
      <c r="AG191">
        <f t="shared" si="92"/>
        <v>0</v>
      </c>
      <c r="AH191">
        <f t="shared" si="93"/>
        <v>0</v>
      </c>
      <c r="AI191">
        <f t="shared" si="94"/>
        <v>0</v>
      </c>
      <c r="AJ191">
        <f t="shared" si="95"/>
        <v>0</v>
      </c>
      <c r="AK191">
        <f t="shared" si="96"/>
        <v>1</v>
      </c>
      <c r="AL191">
        <f t="shared" si="107"/>
        <v>0</v>
      </c>
      <c r="AM191">
        <f t="shared" si="108"/>
        <v>0</v>
      </c>
      <c r="AN191">
        <f t="shared" si="97"/>
        <v>0</v>
      </c>
      <c r="AO191">
        <f t="shared" si="98"/>
        <v>0</v>
      </c>
      <c r="AP191">
        <f t="shared" si="99"/>
        <v>0</v>
      </c>
      <c r="AQ191">
        <f t="shared" si="109"/>
        <v>0</v>
      </c>
      <c r="AR191">
        <f t="shared" si="110"/>
        <v>0</v>
      </c>
      <c r="AS191">
        <f t="shared" si="100"/>
        <v>0</v>
      </c>
      <c r="AT191">
        <f t="shared" si="101"/>
        <v>0</v>
      </c>
      <c r="AU191">
        <f t="shared" si="102"/>
        <v>0</v>
      </c>
      <c r="AV191">
        <f t="shared" si="103"/>
        <v>0</v>
      </c>
      <c r="AW191">
        <f t="shared" si="104"/>
        <v>0</v>
      </c>
      <c r="AX191">
        <f t="shared" si="105"/>
        <v>0</v>
      </c>
      <c r="AY191">
        <f t="shared" si="106"/>
        <v>0</v>
      </c>
      <c r="AZ191" t="s">
        <v>246</v>
      </c>
    </row>
    <row r="192" spans="1:52">
      <c r="A192">
        <v>191</v>
      </c>
      <c r="B192" s="14">
        <v>46180</v>
      </c>
      <c r="C192" t="s">
        <v>22</v>
      </c>
      <c r="D192" t="s">
        <v>2</v>
      </c>
      <c r="E192" t="s">
        <v>280</v>
      </c>
      <c r="F192" t="s">
        <v>12</v>
      </c>
      <c r="G192">
        <v>1</v>
      </c>
      <c r="H192">
        <v>3</v>
      </c>
      <c r="I192" t="s">
        <v>248</v>
      </c>
      <c r="J192" t="s">
        <v>248</v>
      </c>
      <c r="K192" t="s">
        <v>279</v>
      </c>
      <c r="L192" t="s">
        <v>278</v>
      </c>
      <c r="M192" t="s">
        <v>11</v>
      </c>
      <c r="N192" t="s">
        <v>190</v>
      </c>
      <c r="O192">
        <f t="shared" si="74"/>
        <v>1</v>
      </c>
      <c r="P192">
        <f t="shared" si="75"/>
        <v>0</v>
      </c>
      <c r="Q192">
        <f t="shared" si="76"/>
        <v>0</v>
      </c>
      <c r="R192">
        <f t="shared" si="77"/>
        <v>0</v>
      </c>
      <c r="S192">
        <f t="shared" si="78"/>
        <v>1</v>
      </c>
      <c r="T192">
        <f t="shared" si="79"/>
        <v>0</v>
      </c>
      <c r="U192">
        <f t="shared" si="80"/>
        <v>0</v>
      </c>
      <c r="V192">
        <f t="shared" si="81"/>
        <v>0</v>
      </c>
      <c r="W192">
        <f t="shared" si="82"/>
        <v>0</v>
      </c>
      <c r="X192">
        <f t="shared" si="83"/>
        <v>0</v>
      </c>
      <c r="Y192">
        <f t="shared" si="84"/>
        <v>0</v>
      </c>
      <c r="Z192">
        <f t="shared" si="85"/>
        <v>0</v>
      </c>
      <c r="AA192">
        <f t="shared" si="86"/>
        <v>0</v>
      </c>
      <c r="AB192">
        <f t="shared" si="87"/>
        <v>0</v>
      </c>
      <c r="AC192">
        <f t="shared" si="88"/>
        <v>0</v>
      </c>
      <c r="AD192">
        <f t="shared" si="89"/>
        <v>0</v>
      </c>
      <c r="AE192">
        <f t="shared" si="90"/>
        <v>0</v>
      </c>
      <c r="AF192">
        <f t="shared" si="91"/>
        <v>0</v>
      </c>
      <c r="AG192">
        <f t="shared" si="92"/>
        <v>0</v>
      </c>
      <c r="AH192">
        <f t="shared" si="93"/>
        <v>0</v>
      </c>
      <c r="AI192">
        <f t="shared" si="94"/>
        <v>0</v>
      </c>
      <c r="AJ192">
        <f t="shared" si="95"/>
        <v>0</v>
      </c>
      <c r="AK192">
        <f t="shared" si="96"/>
        <v>0</v>
      </c>
      <c r="AL192">
        <f t="shared" si="107"/>
        <v>0</v>
      </c>
      <c r="AM192">
        <f t="shared" si="108"/>
        <v>0</v>
      </c>
      <c r="AN192">
        <f t="shared" si="97"/>
        <v>0</v>
      </c>
      <c r="AO192">
        <f t="shared" si="98"/>
        <v>0</v>
      </c>
      <c r="AP192">
        <f t="shared" si="99"/>
        <v>0</v>
      </c>
      <c r="AQ192">
        <f t="shared" si="109"/>
        <v>0</v>
      </c>
      <c r="AR192">
        <f t="shared" si="110"/>
        <v>0</v>
      </c>
      <c r="AS192">
        <f t="shared" si="100"/>
        <v>0</v>
      </c>
      <c r="AT192">
        <f t="shared" si="101"/>
        <v>0</v>
      </c>
      <c r="AU192">
        <f t="shared" si="102"/>
        <v>0</v>
      </c>
      <c r="AV192">
        <f t="shared" si="103"/>
        <v>0</v>
      </c>
      <c r="AW192">
        <f t="shared" si="104"/>
        <v>0</v>
      </c>
      <c r="AX192">
        <f t="shared" si="105"/>
        <v>0</v>
      </c>
      <c r="AY192">
        <f t="shared" si="106"/>
        <v>0</v>
      </c>
      <c r="AZ192" t="s">
        <v>246</v>
      </c>
    </row>
    <row r="193" spans="1:52">
      <c r="A193">
        <v>192</v>
      </c>
      <c r="B193" s="14">
        <v>46180</v>
      </c>
      <c r="C193" t="s">
        <v>22</v>
      </c>
      <c r="D193" t="s">
        <v>7</v>
      </c>
      <c r="E193" t="s">
        <v>277</v>
      </c>
      <c r="F193" t="s">
        <v>13</v>
      </c>
      <c r="G193">
        <v>7</v>
      </c>
      <c r="H193">
        <v>9</v>
      </c>
      <c r="I193" t="s">
        <v>248</v>
      </c>
      <c r="J193" t="s">
        <v>248</v>
      </c>
      <c r="K193" t="s">
        <v>276</v>
      </c>
      <c r="L193" t="s">
        <v>191</v>
      </c>
      <c r="M193" t="s">
        <v>11</v>
      </c>
      <c r="N193" t="s">
        <v>190</v>
      </c>
      <c r="O193">
        <f t="shared" si="74"/>
        <v>0</v>
      </c>
      <c r="P193">
        <f t="shared" si="75"/>
        <v>0</v>
      </c>
      <c r="Q193">
        <f t="shared" si="76"/>
        <v>0</v>
      </c>
      <c r="R193">
        <f t="shared" si="77"/>
        <v>0</v>
      </c>
      <c r="S193">
        <f t="shared" si="78"/>
        <v>1</v>
      </c>
      <c r="T193">
        <f t="shared" si="79"/>
        <v>0</v>
      </c>
      <c r="U193">
        <f t="shared" si="80"/>
        <v>0</v>
      </c>
      <c r="V193">
        <f t="shared" si="81"/>
        <v>0</v>
      </c>
      <c r="W193">
        <f t="shared" si="82"/>
        <v>0</v>
      </c>
      <c r="X193">
        <f t="shared" si="83"/>
        <v>0</v>
      </c>
      <c r="Y193">
        <f t="shared" si="84"/>
        <v>0</v>
      </c>
      <c r="Z193">
        <f t="shared" si="85"/>
        <v>0</v>
      </c>
      <c r="AA193">
        <f t="shared" si="86"/>
        <v>0</v>
      </c>
      <c r="AB193">
        <f t="shared" si="87"/>
        <v>0</v>
      </c>
      <c r="AC193">
        <f t="shared" si="88"/>
        <v>0</v>
      </c>
      <c r="AD193">
        <f t="shared" si="89"/>
        <v>0</v>
      </c>
      <c r="AE193">
        <f t="shared" si="90"/>
        <v>0</v>
      </c>
      <c r="AF193">
        <f t="shared" si="91"/>
        <v>0</v>
      </c>
      <c r="AG193">
        <f t="shared" si="92"/>
        <v>0</v>
      </c>
      <c r="AH193">
        <f t="shared" si="93"/>
        <v>0</v>
      </c>
      <c r="AI193">
        <f t="shared" si="94"/>
        <v>0</v>
      </c>
      <c r="AJ193">
        <f t="shared" si="95"/>
        <v>0</v>
      </c>
      <c r="AK193">
        <f t="shared" si="96"/>
        <v>1</v>
      </c>
      <c r="AL193">
        <f t="shared" si="107"/>
        <v>0</v>
      </c>
      <c r="AM193">
        <f t="shared" si="108"/>
        <v>0</v>
      </c>
      <c r="AN193">
        <f t="shared" si="97"/>
        <v>0</v>
      </c>
      <c r="AO193">
        <f t="shared" si="98"/>
        <v>0</v>
      </c>
      <c r="AP193">
        <f t="shared" si="99"/>
        <v>0</v>
      </c>
      <c r="AQ193">
        <f t="shared" si="109"/>
        <v>0</v>
      </c>
      <c r="AR193">
        <f t="shared" si="110"/>
        <v>0</v>
      </c>
      <c r="AS193">
        <f t="shared" si="100"/>
        <v>0</v>
      </c>
      <c r="AT193">
        <f t="shared" si="101"/>
        <v>0</v>
      </c>
      <c r="AU193">
        <f t="shared" si="102"/>
        <v>0</v>
      </c>
      <c r="AV193">
        <f t="shared" si="103"/>
        <v>0</v>
      </c>
      <c r="AW193">
        <f t="shared" si="104"/>
        <v>0</v>
      </c>
      <c r="AX193">
        <f t="shared" si="105"/>
        <v>0</v>
      </c>
      <c r="AY193">
        <f t="shared" si="106"/>
        <v>0</v>
      </c>
      <c r="AZ193" t="s">
        <v>246</v>
      </c>
    </row>
    <row r="194" spans="1:52">
      <c r="A194">
        <v>193</v>
      </c>
      <c r="B194" s="14">
        <v>46180</v>
      </c>
      <c r="C194" t="s">
        <v>22</v>
      </c>
      <c r="D194" t="s">
        <v>4</v>
      </c>
      <c r="E194" t="s">
        <v>275</v>
      </c>
      <c r="F194" t="s">
        <v>5</v>
      </c>
      <c r="G194">
        <v>3</v>
      </c>
      <c r="H194">
        <v>7</v>
      </c>
      <c r="I194" t="s">
        <v>248</v>
      </c>
      <c r="J194" t="s">
        <v>248</v>
      </c>
      <c r="K194" t="s">
        <v>274</v>
      </c>
      <c r="L194" t="s">
        <v>273</v>
      </c>
      <c r="M194" t="s">
        <v>11</v>
      </c>
      <c r="N194" t="s">
        <v>190</v>
      </c>
      <c r="O194">
        <f t="shared" ref="O194:O231" si="111">IF(ISBLANK(K194),0,IF(ISNUMBER(SEARCH("sql",K194)),1,0))</f>
        <v>0</v>
      </c>
      <c r="P194">
        <f t="shared" ref="P194:P231" si="112">IF(ISBLANK(K194),0,IF(ISNUMBER(SEARCH("Python",K194)),1,0))</f>
        <v>0</v>
      </c>
      <c r="Q194">
        <f t="shared" ref="Q194:Q231" si="113">IF(ISBLANK(K194),0,IF(ISNUMBER(SEARCH("PowerBI",K194)),1,0))</f>
        <v>1</v>
      </c>
      <c r="R194">
        <f t="shared" ref="R194:R231" si="114">IF(ISBLANK(K194),0,IF(ISNUMBER(SEARCH("Tableau",K194)),1,0))</f>
        <v>0</v>
      </c>
      <c r="S194">
        <f t="shared" ref="S194:S231" si="115">IF(ISBLANK(K194),0,IF(ISNUMBER(SEARCH("Excel",K194)),1,0))</f>
        <v>0</v>
      </c>
      <c r="T194">
        <f t="shared" ref="T194:T231" si="116">IF(ISBLANK(K194),0,IF(ISNUMBER(SEARCH("Statistics",K194)),1,0))</f>
        <v>0</v>
      </c>
      <c r="U194">
        <f t="shared" ref="U194:U231" si="117">IF(ISBLANK(K194),0,IF(ISNUMBER(SEARCH("AWS",K194)),1,0))</f>
        <v>0</v>
      </c>
      <c r="V194">
        <f t="shared" ref="V194:V231" si="118">IF(ISBLANK(K194),0,IF(ISNUMBER(SEARCH("GCP",K194)),1,0))</f>
        <v>0</v>
      </c>
      <c r="W194">
        <f t="shared" ref="W194:W231" si="119">IF(ISBLANK(K194),0,IF(ISNUMBER(SEARCH("NoSQL",K194)),1,0))</f>
        <v>0</v>
      </c>
      <c r="X194">
        <f t="shared" ref="X194:X231" si="120">IF(ISBLANK(K194),0,IF(ISNUMBER(SEARCH("Data Modeling",K194)),1,0))</f>
        <v>0</v>
      </c>
      <c r="Y194">
        <f t="shared" ref="Y194:Y231" si="121">IF(ISBLANK(K194),0,IF(ISNUMBER(SEARCH("Pandas",K194)),1,0))</f>
        <v>0</v>
      </c>
      <c r="Z194">
        <f t="shared" ref="Z194:Z231" si="122">IF(ISBLANK(K194),0,IF(ISNUMBER(SEARCH("Numpy",K194)),1,0))</f>
        <v>0</v>
      </c>
      <c r="AA194">
        <f t="shared" ref="AA194:AA231" si="123">IF(ISBLANK(K194),0,IF(ISNUMBER(SEARCH("Pyspark",K194)),1,0))</f>
        <v>0</v>
      </c>
      <c r="AB194">
        <f t="shared" ref="AB194:AB231" si="124">IF(ISBLANK(K194),0,IF(ISNUMBER(SEARCH("Hadoop",K194)),1,0))</f>
        <v>0</v>
      </c>
      <c r="AC194">
        <f t="shared" ref="AC194:AC231" si="125">IF(ISBLANK(K194),0,IF(ISNUMBER(SEARCH("ETL",K194)),1,0))</f>
        <v>0</v>
      </c>
      <c r="AD194">
        <f t="shared" ref="AD194:AD231" si="126">IF(ISBLANK(K194),0,IF(ISNUMBER(SEARCH("Azure",K194)),1,0))</f>
        <v>0</v>
      </c>
      <c r="AE194">
        <f t="shared" ref="AE194:AE231" si="127">IF(ISBLANK(K194),0,IF(ISNUMBER(SEARCH("Databricks",K194)),1,0))</f>
        <v>0</v>
      </c>
      <c r="AF194">
        <f t="shared" ref="AF194:AF231" si="128">IF(ISBLANK(K194),0,IF(ISNUMBER(SEARCH("A/B Testing",K194)),1,0))</f>
        <v>0</v>
      </c>
      <c r="AG194">
        <f t="shared" ref="AG194:AG231" si="129">IF(ISBLANK(K194),0,IF(ISNUMBER(SEARCH("Snowflake",K194)),1,0))</f>
        <v>0</v>
      </c>
      <c r="AH194">
        <f t="shared" ref="AH194:AH231" si="130">IF(ISBLANK(K194),0,IF(ISNUMBER(SEARCH("Agile",K194)),1,0))</f>
        <v>0</v>
      </c>
      <c r="AI194">
        <f t="shared" ref="AI194:AI231" si="131">IF(ISBLANK(K194),0,IF(ISNUMBER(SEARCH("Jira",K194)),1,0))</f>
        <v>0</v>
      </c>
      <c r="AJ194">
        <f t="shared" ref="AJ194:AJ231" si="132">IF(ISBLANK(K194),0,IF(ISNUMBER(SEARCH("Git",K194)),1,0))</f>
        <v>0</v>
      </c>
      <c r="AK194">
        <f t="shared" ref="AK194:AK231" si="133">IF(ISBLANK(K194),0,IF(ISNUMBER(SEARCH("Reporting",K194)),1,0))</f>
        <v>0</v>
      </c>
      <c r="AL194">
        <f t="shared" si="107"/>
        <v>0</v>
      </c>
      <c r="AM194">
        <f t="shared" si="108"/>
        <v>0</v>
      </c>
      <c r="AN194">
        <f t="shared" ref="AN194:AN231" si="134">IF(ISBLANK(L194),0,IF(ISNUMBER(SEARCH("SQL",L194)),1,0))</f>
        <v>0</v>
      </c>
      <c r="AO194">
        <f t="shared" ref="AO194:AO231" si="135">IF(ISBLANK(L194),0,IF(ISNUMBER(SEARCH("Airflow",L194)),1,0))</f>
        <v>0</v>
      </c>
      <c r="AP194">
        <f t="shared" ref="AP194:AP231" si="136">IF(ISBLANK(L194),0,IF(ISNUMBER(SEARCH("Kafka",L194)),1,0))</f>
        <v>0</v>
      </c>
      <c r="AQ194">
        <f t="shared" si="109"/>
        <v>0</v>
      </c>
      <c r="AR194">
        <f t="shared" si="110"/>
        <v>0</v>
      </c>
      <c r="AS194">
        <f t="shared" ref="AS194:AS231" si="137">IF(ISBLANK(L196),0,IF(ISNUMBER(SEARCH("Docker",L196)),1,0))</f>
        <v>0</v>
      </c>
      <c r="AT194">
        <f t="shared" ref="AT194:AT231" si="138">IF(ISBLANK(L196),0,IF(ISNUMBER(SEARCH("dbt",L196)),1,0))</f>
        <v>0</v>
      </c>
      <c r="AU194">
        <f t="shared" ref="AU194:AU231" si="139">IF(ISBLANK(L196),0,IF(ISNUMBER(SEARCH("AWS",L196)),1,0))</f>
        <v>0</v>
      </c>
      <c r="AV194">
        <f t="shared" ref="AV194:AV231" si="140">IF(ISBLANK(L196),0,IF(ISNUMBER(SEARCH("GCP",L196)),1,0))</f>
        <v>0</v>
      </c>
      <c r="AW194">
        <f t="shared" ref="AW194:AW231" si="141">IF(ISBLANK(L196),0,IF(ISNUMBER(SEARCH("Azure",L196)),1,0))</f>
        <v>0</v>
      </c>
      <c r="AX194">
        <f t="shared" ref="AX194:AX231" si="142">IF(ISBLANK(M196),0,IF(ISNUMBER(SEARCH("Tableau",L196)),1,0))</f>
        <v>0</v>
      </c>
      <c r="AY194">
        <f t="shared" ref="AY194:AY231" si="143">IF(ISBLANK(N196),0,IF(ISNUMBER(SEARCH("PowerBI",L196)),1,0))</f>
        <v>0</v>
      </c>
      <c r="AZ194" t="s">
        <v>246</v>
      </c>
    </row>
    <row r="195" spans="1:52">
      <c r="A195">
        <v>194</v>
      </c>
      <c r="B195" s="14">
        <v>46180</v>
      </c>
      <c r="C195" t="s">
        <v>22</v>
      </c>
      <c r="D195" t="s">
        <v>4</v>
      </c>
      <c r="E195" t="s">
        <v>272</v>
      </c>
      <c r="F195" t="s">
        <v>3</v>
      </c>
      <c r="G195">
        <v>0</v>
      </c>
      <c r="H195">
        <v>2</v>
      </c>
      <c r="I195" t="s">
        <v>248</v>
      </c>
      <c r="J195" t="s">
        <v>248</v>
      </c>
      <c r="K195" t="s">
        <v>271</v>
      </c>
      <c r="L195" t="s">
        <v>191</v>
      </c>
      <c r="M195" t="s">
        <v>11</v>
      </c>
      <c r="N195" t="s">
        <v>206</v>
      </c>
      <c r="O195">
        <f t="shared" si="111"/>
        <v>1</v>
      </c>
      <c r="P195">
        <f t="shared" si="112"/>
        <v>0</v>
      </c>
      <c r="Q195">
        <f t="shared" si="113"/>
        <v>0</v>
      </c>
      <c r="R195">
        <f t="shared" si="114"/>
        <v>0</v>
      </c>
      <c r="S195">
        <f t="shared" si="115"/>
        <v>0</v>
      </c>
      <c r="T195">
        <f t="shared" si="116"/>
        <v>0</v>
      </c>
      <c r="U195">
        <f t="shared" si="117"/>
        <v>0</v>
      </c>
      <c r="V195">
        <f t="shared" si="118"/>
        <v>0</v>
      </c>
      <c r="W195">
        <f t="shared" si="119"/>
        <v>0</v>
      </c>
      <c r="X195">
        <f t="shared" si="120"/>
        <v>0</v>
      </c>
      <c r="Y195">
        <f t="shared" si="121"/>
        <v>0</v>
      </c>
      <c r="Z195">
        <f t="shared" si="122"/>
        <v>0</v>
      </c>
      <c r="AA195">
        <f t="shared" si="123"/>
        <v>0</v>
      </c>
      <c r="AB195">
        <f t="shared" si="124"/>
        <v>0</v>
      </c>
      <c r="AC195">
        <f t="shared" si="125"/>
        <v>0</v>
      </c>
      <c r="AD195">
        <f t="shared" si="126"/>
        <v>0</v>
      </c>
      <c r="AE195">
        <f t="shared" si="127"/>
        <v>0</v>
      </c>
      <c r="AF195">
        <f t="shared" si="128"/>
        <v>0</v>
      </c>
      <c r="AG195">
        <f t="shared" si="129"/>
        <v>0</v>
      </c>
      <c r="AH195">
        <f t="shared" si="130"/>
        <v>0</v>
      </c>
      <c r="AI195">
        <f t="shared" si="131"/>
        <v>1</v>
      </c>
      <c r="AJ195">
        <f t="shared" si="132"/>
        <v>0</v>
      </c>
      <c r="AK195">
        <f t="shared" si="133"/>
        <v>0</v>
      </c>
      <c r="AL195">
        <f t="shared" ref="AL195:AL231" si="144">IF(ISBLANK(K195),0,IF(ISNUMBER(SEARCH("CI/CD",K195)),1,0))</f>
        <v>0</v>
      </c>
      <c r="AM195">
        <f t="shared" ref="AM195:AM231" si="145">IF(ISBLANK(L195),0,IF(ISNUMBER(SEARCH("Python",L195)),1,0))</f>
        <v>0</v>
      </c>
      <c r="AN195">
        <f t="shared" si="134"/>
        <v>0</v>
      </c>
      <c r="AO195">
        <f t="shared" si="135"/>
        <v>0</v>
      </c>
      <c r="AP195">
        <f t="shared" si="136"/>
        <v>0</v>
      </c>
      <c r="AQ195">
        <f t="shared" ref="AQ195:AQ231" si="146">IF(ISBLANK(L195),0,IF(ISNUMBER(SEARCH("ML",L195)),1,0))</f>
        <v>0</v>
      </c>
      <c r="AR195">
        <f t="shared" ref="AR195:AR231" si="147">IF(ISBLANK(L196),0,IF(ISNUMBER(SEARCH("ML",L196)),1,0))</f>
        <v>0</v>
      </c>
      <c r="AS195">
        <f t="shared" si="137"/>
        <v>0</v>
      </c>
      <c r="AT195">
        <f t="shared" si="138"/>
        <v>0</v>
      </c>
      <c r="AU195">
        <f t="shared" si="139"/>
        <v>0</v>
      </c>
      <c r="AV195">
        <f t="shared" si="140"/>
        <v>0</v>
      </c>
      <c r="AW195">
        <f t="shared" si="141"/>
        <v>0</v>
      </c>
      <c r="AX195">
        <f t="shared" si="142"/>
        <v>0</v>
      </c>
      <c r="AY195">
        <f t="shared" si="143"/>
        <v>0</v>
      </c>
      <c r="AZ195" t="s">
        <v>246</v>
      </c>
    </row>
    <row r="196" spans="1:52">
      <c r="A196">
        <v>195</v>
      </c>
      <c r="B196" s="14">
        <v>46180</v>
      </c>
      <c r="C196" t="s">
        <v>22</v>
      </c>
      <c r="D196" t="s">
        <v>4</v>
      </c>
      <c r="E196" t="s">
        <v>270</v>
      </c>
      <c r="F196" t="s">
        <v>13</v>
      </c>
      <c r="G196">
        <v>0</v>
      </c>
      <c r="H196">
        <v>2</v>
      </c>
      <c r="I196" t="s">
        <v>248</v>
      </c>
      <c r="J196" t="s">
        <v>248</v>
      </c>
      <c r="K196" t="s">
        <v>269</v>
      </c>
      <c r="L196" t="s">
        <v>191</v>
      </c>
      <c r="M196" t="s">
        <v>11</v>
      </c>
      <c r="N196" t="s">
        <v>198</v>
      </c>
      <c r="O196">
        <f t="shared" si="111"/>
        <v>0</v>
      </c>
      <c r="P196">
        <f t="shared" si="112"/>
        <v>0</v>
      </c>
      <c r="Q196">
        <f t="shared" si="113"/>
        <v>0</v>
      </c>
      <c r="R196">
        <f t="shared" si="114"/>
        <v>0</v>
      </c>
      <c r="S196">
        <f t="shared" si="115"/>
        <v>1</v>
      </c>
      <c r="T196">
        <f t="shared" si="116"/>
        <v>0</v>
      </c>
      <c r="U196">
        <f t="shared" si="117"/>
        <v>0</v>
      </c>
      <c r="V196">
        <f t="shared" si="118"/>
        <v>0</v>
      </c>
      <c r="W196">
        <f t="shared" si="119"/>
        <v>0</v>
      </c>
      <c r="X196">
        <f t="shared" si="120"/>
        <v>0</v>
      </c>
      <c r="Y196">
        <f t="shared" si="121"/>
        <v>0</v>
      </c>
      <c r="Z196">
        <f t="shared" si="122"/>
        <v>0</v>
      </c>
      <c r="AA196">
        <f t="shared" si="123"/>
        <v>0</v>
      </c>
      <c r="AB196">
        <f t="shared" si="124"/>
        <v>0</v>
      </c>
      <c r="AC196">
        <f t="shared" si="125"/>
        <v>0</v>
      </c>
      <c r="AD196">
        <f t="shared" si="126"/>
        <v>0</v>
      </c>
      <c r="AE196">
        <f t="shared" si="127"/>
        <v>0</v>
      </c>
      <c r="AF196">
        <f t="shared" si="128"/>
        <v>0</v>
      </c>
      <c r="AG196">
        <f t="shared" si="129"/>
        <v>0</v>
      </c>
      <c r="AH196">
        <f t="shared" si="130"/>
        <v>0</v>
      </c>
      <c r="AI196">
        <f t="shared" si="131"/>
        <v>0</v>
      </c>
      <c r="AJ196">
        <f t="shared" si="132"/>
        <v>0</v>
      </c>
      <c r="AK196">
        <f t="shared" si="133"/>
        <v>0</v>
      </c>
      <c r="AL196">
        <f t="shared" si="144"/>
        <v>0</v>
      </c>
      <c r="AM196">
        <f t="shared" si="145"/>
        <v>0</v>
      </c>
      <c r="AN196">
        <f t="shared" si="134"/>
        <v>0</v>
      </c>
      <c r="AO196">
        <f t="shared" si="135"/>
        <v>0</v>
      </c>
      <c r="AP196">
        <f t="shared" si="136"/>
        <v>0</v>
      </c>
      <c r="AQ196">
        <f t="shared" si="146"/>
        <v>0</v>
      </c>
      <c r="AR196">
        <f t="shared" si="147"/>
        <v>0</v>
      </c>
      <c r="AS196">
        <f t="shared" si="137"/>
        <v>0</v>
      </c>
      <c r="AT196">
        <f t="shared" si="138"/>
        <v>0</v>
      </c>
      <c r="AU196">
        <f t="shared" si="139"/>
        <v>0</v>
      </c>
      <c r="AV196">
        <f t="shared" si="140"/>
        <v>0</v>
      </c>
      <c r="AW196">
        <f t="shared" si="141"/>
        <v>0</v>
      </c>
      <c r="AX196">
        <f t="shared" si="142"/>
        <v>0</v>
      </c>
      <c r="AY196">
        <f t="shared" si="143"/>
        <v>0</v>
      </c>
      <c r="AZ196" t="s">
        <v>246</v>
      </c>
    </row>
    <row r="197" spans="1:52">
      <c r="A197">
        <v>196</v>
      </c>
      <c r="B197" s="14">
        <v>46180</v>
      </c>
      <c r="C197" t="s">
        <v>22</v>
      </c>
      <c r="D197" t="s">
        <v>4</v>
      </c>
      <c r="E197" t="s">
        <v>268</v>
      </c>
      <c r="F197" t="s">
        <v>13</v>
      </c>
      <c r="G197">
        <v>0</v>
      </c>
      <c r="H197">
        <v>2</v>
      </c>
      <c r="I197" t="s">
        <v>248</v>
      </c>
      <c r="J197" t="s">
        <v>248</v>
      </c>
      <c r="K197" t="s">
        <v>267</v>
      </c>
      <c r="L197" t="s">
        <v>266</v>
      </c>
      <c r="M197" t="s">
        <v>11</v>
      </c>
      <c r="N197" t="s">
        <v>198</v>
      </c>
      <c r="O197">
        <f t="shared" si="111"/>
        <v>0</v>
      </c>
      <c r="P197">
        <f t="shared" si="112"/>
        <v>0</v>
      </c>
      <c r="Q197">
        <f t="shared" si="113"/>
        <v>0</v>
      </c>
      <c r="R197">
        <f t="shared" si="114"/>
        <v>0</v>
      </c>
      <c r="S197">
        <f t="shared" si="115"/>
        <v>0</v>
      </c>
      <c r="T197">
        <f t="shared" si="116"/>
        <v>0</v>
      </c>
      <c r="U197">
        <f t="shared" si="117"/>
        <v>0</v>
      </c>
      <c r="V197">
        <f t="shared" si="118"/>
        <v>0</v>
      </c>
      <c r="W197">
        <f t="shared" si="119"/>
        <v>0</v>
      </c>
      <c r="X197">
        <f t="shared" si="120"/>
        <v>0</v>
      </c>
      <c r="Y197">
        <f t="shared" si="121"/>
        <v>0</v>
      </c>
      <c r="Z197">
        <f t="shared" si="122"/>
        <v>0</v>
      </c>
      <c r="AA197">
        <f t="shared" si="123"/>
        <v>0</v>
      </c>
      <c r="AB197">
        <f t="shared" si="124"/>
        <v>0</v>
      </c>
      <c r="AC197">
        <f t="shared" si="125"/>
        <v>0</v>
      </c>
      <c r="AD197">
        <f t="shared" si="126"/>
        <v>0</v>
      </c>
      <c r="AE197">
        <f t="shared" si="127"/>
        <v>0</v>
      </c>
      <c r="AF197">
        <f t="shared" si="128"/>
        <v>0</v>
      </c>
      <c r="AG197">
        <f t="shared" si="129"/>
        <v>0</v>
      </c>
      <c r="AH197">
        <f t="shared" si="130"/>
        <v>0</v>
      </c>
      <c r="AI197">
        <f t="shared" si="131"/>
        <v>0</v>
      </c>
      <c r="AJ197">
        <f t="shared" si="132"/>
        <v>0</v>
      </c>
      <c r="AK197">
        <f t="shared" si="133"/>
        <v>0</v>
      </c>
      <c r="AL197">
        <f t="shared" si="144"/>
        <v>0</v>
      </c>
      <c r="AM197">
        <f t="shared" si="145"/>
        <v>0</v>
      </c>
      <c r="AN197">
        <f t="shared" si="134"/>
        <v>0</v>
      </c>
      <c r="AO197">
        <f t="shared" si="135"/>
        <v>0</v>
      </c>
      <c r="AP197">
        <f t="shared" si="136"/>
        <v>0</v>
      </c>
      <c r="AQ197">
        <f t="shared" si="146"/>
        <v>0</v>
      </c>
      <c r="AR197">
        <f t="shared" si="147"/>
        <v>0</v>
      </c>
      <c r="AS197">
        <f t="shared" si="137"/>
        <v>0</v>
      </c>
      <c r="AT197">
        <f t="shared" si="138"/>
        <v>0</v>
      </c>
      <c r="AU197">
        <f t="shared" si="139"/>
        <v>0</v>
      </c>
      <c r="AV197">
        <f t="shared" si="140"/>
        <v>0</v>
      </c>
      <c r="AW197">
        <f t="shared" si="141"/>
        <v>0</v>
      </c>
      <c r="AX197">
        <f t="shared" si="142"/>
        <v>0</v>
      </c>
      <c r="AY197">
        <f t="shared" si="143"/>
        <v>0</v>
      </c>
      <c r="AZ197" t="s">
        <v>246</v>
      </c>
    </row>
    <row r="198" spans="1:52">
      <c r="A198">
        <v>197</v>
      </c>
      <c r="B198" s="14">
        <v>46180</v>
      </c>
      <c r="C198" t="s">
        <v>22</v>
      </c>
      <c r="D198" t="s">
        <v>4</v>
      </c>
      <c r="E198" t="s">
        <v>265</v>
      </c>
      <c r="F198" t="s">
        <v>14</v>
      </c>
      <c r="G198">
        <v>0</v>
      </c>
      <c r="H198">
        <v>2</v>
      </c>
      <c r="I198" t="s">
        <v>248</v>
      </c>
      <c r="J198" t="s">
        <v>248</v>
      </c>
      <c r="K198" t="s">
        <v>264</v>
      </c>
      <c r="L198" t="s">
        <v>191</v>
      </c>
      <c r="M198" t="s">
        <v>11</v>
      </c>
      <c r="N198" t="s">
        <v>206</v>
      </c>
      <c r="O198">
        <f t="shared" si="111"/>
        <v>1</v>
      </c>
      <c r="P198">
        <f t="shared" si="112"/>
        <v>0</v>
      </c>
      <c r="Q198">
        <f t="shared" si="113"/>
        <v>0</v>
      </c>
      <c r="R198">
        <f t="shared" si="114"/>
        <v>0</v>
      </c>
      <c r="S198">
        <f t="shared" si="115"/>
        <v>0</v>
      </c>
      <c r="T198">
        <f t="shared" si="116"/>
        <v>0</v>
      </c>
      <c r="U198">
        <f t="shared" si="117"/>
        <v>0</v>
      </c>
      <c r="V198">
        <f t="shared" si="118"/>
        <v>0</v>
      </c>
      <c r="W198">
        <f t="shared" si="119"/>
        <v>0</v>
      </c>
      <c r="X198">
        <f t="shared" si="120"/>
        <v>0</v>
      </c>
      <c r="Y198">
        <f t="shared" si="121"/>
        <v>0</v>
      </c>
      <c r="Z198">
        <f t="shared" si="122"/>
        <v>0</v>
      </c>
      <c r="AA198">
        <f t="shared" si="123"/>
        <v>0</v>
      </c>
      <c r="AB198">
        <f t="shared" si="124"/>
        <v>0</v>
      </c>
      <c r="AC198">
        <f t="shared" si="125"/>
        <v>0</v>
      </c>
      <c r="AD198">
        <f t="shared" si="126"/>
        <v>0</v>
      </c>
      <c r="AE198">
        <f t="shared" si="127"/>
        <v>0</v>
      </c>
      <c r="AF198">
        <f t="shared" si="128"/>
        <v>0</v>
      </c>
      <c r="AG198">
        <f t="shared" si="129"/>
        <v>0</v>
      </c>
      <c r="AH198">
        <f t="shared" si="130"/>
        <v>0</v>
      </c>
      <c r="AI198">
        <f t="shared" si="131"/>
        <v>0</v>
      </c>
      <c r="AJ198">
        <f t="shared" si="132"/>
        <v>0</v>
      </c>
      <c r="AK198">
        <f t="shared" si="133"/>
        <v>0</v>
      </c>
      <c r="AL198">
        <f t="shared" si="144"/>
        <v>0</v>
      </c>
      <c r="AM198">
        <f t="shared" si="145"/>
        <v>0</v>
      </c>
      <c r="AN198">
        <f t="shared" si="134"/>
        <v>0</v>
      </c>
      <c r="AO198">
        <f t="shared" si="135"/>
        <v>0</v>
      </c>
      <c r="AP198">
        <f t="shared" si="136"/>
        <v>0</v>
      </c>
      <c r="AQ198">
        <f t="shared" si="146"/>
        <v>0</v>
      </c>
      <c r="AR198">
        <f t="shared" si="147"/>
        <v>0</v>
      </c>
      <c r="AS198">
        <f t="shared" si="137"/>
        <v>0</v>
      </c>
      <c r="AT198">
        <f t="shared" si="138"/>
        <v>0</v>
      </c>
      <c r="AU198">
        <f t="shared" si="139"/>
        <v>0</v>
      </c>
      <c r="AV198">
        <f t="shared" si="140"/>
        <v>0</v>
      </c>
      <c r="AW198">
        <f t="shared" si="141"/>
        <v>0</v>
      </c>
      <c r="AX198">
        <f t="shared" si="142"/>
        <v>0</v>
      </c>
      <c r="AY198">
        <f t="shared" si="143"/>
        <v>0</v>
      </c>
      <c r="AZ198" t="s">
        <v>246</v>
      </c>
    </row>
    <row r="199" spans="1:52">
      <c r="A199">
        <v>198</v>
      </c>
      <c r="B199" s="14">
        <v>46180</v>
      </c>
      <c r="C199" t="s">
        <v>22</v>
      </c>
      <c r="D199" t="s">
        <v>4</v>
      </c>
      <c r="E199" t="s">
        <v>263</v>
      </c>
      <c r="F199" t="s">
        <v>3</v>
      </c>
      <c r="G199">
        <v>7</v>
      </c>
      <c r="H199">
        <v>9</v>
      </c>
      <c r="I199" t="s">
        <v>248</v>
      </c>
      <c r="J199" t="s">
        <v>248</v>
      </c>
      <c r="K199" t="s">
        <v>262</v>
      </c>
      <c r="L199" t="s">
        <v>261</v>
      </c>
      <c r="M199" t="s">
        <v>11</v>
      </c>
      <c r="N199" t="s">
        <v>206</v>
      </c>
      <c r="O199">
        <f t="shared" si="111"/>
        <v>0</v>
      </c>
      <c r="P199">
        <f t="shared" si="112"/>
        <v>0</v>
      </c>
      <c r="Q199">
        <f t="shared" si="113"/>
        <v>0</v>
      </c>
      <c r="R199">
        <f t="shared" si="114"/>
        <v>0</v>
      </c>
      <c r="S199">
        <f t="shared" si="115"/>
        <v>0</v>
      </c>
      <c r="T199">
        <f t="shared" si="116"/>
        <v>0</v>
      </c>
      <c r="U199">
        <f t="shared" si="117"/>
        <v>0</v>
      </c>
      <c r="V199">
        <f t="shared" si="118"/>
        <v>0</v>
      </c>
      <c r="W199">
        <f t="shared" si="119"/>
        <v>0</v>
      </c>
      <c r="X199">
        <f t="shared" si="120"/>
        <v>0</v>
      </c>
      <c r="Y199">
        <f t="shared" si="121"/>
        <v>0</v>
      </c>
      <c r="Z199">
        <f t="shared" si="122"/>
        <v>0</v>
      </c>
      <c r="AA199">
        <f t="shared" si="123"/>
        <v>0</v>
      </c>
      <c r="AB199">
        <f t="shared" si="124"/>
        <v>0</v>
      </c>
      <c r="AC199">
        <f t="shared" si="125"/>
        <v>0</v>
      </c>
      <c r="AD199">
        <f t="shared" si="126"/>
        <v>0</v>
      </c>
      <c r="AE199">
        <f t="shared" si="127"/>
        <v>0</v>
      </c>
      <c r="AF199">
        <f t="shared" si="128"/>
        <v>0</v>
      </c>
      <c r="AG199">
        <f t="shared" si="129"/>
        <v>0</v>
      </c>
      <c r="AH199">
        <f t="shared" si="130"/>
        <v>0</v>
      </c>
      <c r="AI199">
        <f t="shared" si="131"/>
        <v>0</v>
      </c>
      <c r="AJ199">
        <f t="shared" si="132"/>
        <v>0</v>
      </c>
      <c r="AK199">
        <f t="shared" si="133"/>
        <v>0</v>
      </c>
      <c r="AL199">
        <f t="shared" si="144"/>
        <v>0</v>
      </c>
      <c r="AM199">
        <f t="shared" si="145"/>
        <v>0</v>
      </c>
      <c r="AN199">
        <f t="shared" si="134"/>
        <v>0</v>
      </c>
      <c r="AO199">
        <f t="shared" si="135"/>
        <v>0</v>
      </c>
      <c r="AP199">
        <f t="shared" si="136"/>
        <v>0</v>
      </c>
      <c r="AQ199">
        <f t="shared" si="146"/>
        <v>0</v>
      </c>
      <c r="AR199">
        <f t="shared" si="147"/>
        <v>0</v>
      </c>
      <c r="AS199">
        <f t="shared" si="137"/>
        <v>0</v>
      </c>
      <c r="AT199">
        <f t="shared" si="138"/>
        <v>0</v>
      </c>
      <c r="AU199">
        <f t="shared" si="139"/>
        <v>0</v>
      </c>
      <c r="AV199">
        <f t="shared" si="140"/>
        <v>0</v>
      </c>
      <c r="AW199">
        <f t="shared" si="141"/>
        <v>0</v>
      </c>
      <c r="AX199">
        <f t="shared" si="142"/>
        <v>0</v>
      </c>
      <c r="AY199">
        <f t="shared" si="143"/>
        <v>0</v>
      </c>
      <c r="AZ199" t="s">
        <v>246</v>
      </c>
    </row>
    <row r="200" spans="1:52">
      <c r="A200">
        <v>199</v>
      </c>
      <c r="B200" s="14">
        <v>46180</v>
      </c>
      <c r="C200" t="s">
        <v>22</v>
      </c>
      <c r="D200" t="s">
        <v>4</v>
      </c>
      <c r="E200" t="s">
        <v>260</v>
      </c>
      <c r="F200" t="s">
        <v>3</v>
      </c>
      <c r="G200">
        <v>2</v>
      </c>
      <c r="H200">
        <v>4</v>
      </c>
      <c r="I200" t="s">
        <v>248</v>
      </c>
      <c r="J200" t="s">
        <v>248</v>
      </c>
      <c r="K200" t="s">
        <v>209</v>
      </c>
      <c r="L200" t="s">
        <v>191</v>
      </c>
      <c r="M200" t="s">
        <v>11</v>
      </c>
      <c r="N200" t="s">
        <v>206</v>
      </c>
      <c r="O200">
        <f t="shared" si="111"/>
        <v>1</v>
      </c>
      <c r="P200">
        <f t="shared" si="112"/>
        <v>0</v>
      </c>
      <c r="Q200">
        <f t="shared" si="113"/>
        <v>0</v>
      </c>
      <c r="R200">
        <f t="shared" si="114"/>
        <v>0</v>
      </c>
      <c r="S200">
        <f t="shared" si="115"/>
        <v>1</v>
      </c>
      <c r="T200">
        <f t="shared" si="116"/>
        <v>0</v>
      </c>
      <c r="U200">
        <f t="shared" si="117"/>
        <v>0</v>
      </c>
      <c r="V200">
        <f t="shared" si="118"/>
        <v>0</v>
      </c>
      <c r="W200">
        <f t="shared" si="119"/>
        <v>0</v>
      </c>
      <c r="X200">
        <f t="shared" si="120"/>
        <v>0</v>
      </c>
      <c r="Y200">
        <f t="shared" si="121"/>
        <v>0</v>
      </c>
      <c r="Z200">
        <f t="shared" si="122"/>
        <v>0</v>
      </c>
      <c r="AA200">
        <f t="shared" si="123"/>
        <v>0</v>
      </c>
      <c r="AB200">
        <f t="shared" si="124"/>
        <v>0</v>
      </c>
      <c r="AC200">
        <f t="shared" si="125"/>
        <v>0</v>
      </c>
      <c r="AD200">
        <f t="shared" si="126"/>
        <v>0</v>
      </c>
      <c r="AE200">
        <f t="shared" si="127"/>
        <v>0</v>
      </c>
      <c r="AF200">
        <f t="shared" si="128"/>
        <v>0</v>
      </c>
      <c r="AG200">
        <f t="shared" si="129"/>
        <v>0</v>
      </c>
      <c r="AH200">
        <f t="shared" si="130"/>
        <v>0</v>
      </c>
      <c r="AI200">
        <f t="shared" si="131"/>
        <v>0</v>
      </c>
      <c r="AJ200">
        <f t="shared" si="132"/>
        <v>0</v>
      </c>
      <c r="AK200">
        <f t="shared" si="133"/>
        <v>0</v>
      </c>
      <c r="AL200">
        <f t="shared" si="144"/>
        <v>0</v>
      </c>
      <c r="AM200">
        <f t="shared" si="145"/>
        <v>0</v>
      </c>
      <c r="AN200">
        <f t="shared" si="134"/>
        <v>0</v>
      </c>
      <c r="AO200">
        <f t="shared" si="135"/>
        <v>0</v>
      </c>
      <c r="AP200">
        <f t="shared" si="136"/>
        <v>0</v>
      </c>
      <c r="AQ200">
        <f t="shared" si="146"/>
        <v>0</v>
      </c>
      <c r="AR200">
        <f t="shared" si="147"/>
        <v>0</v>
      </c>
      <c r="AS200">
        <f t="shared" si="137"/>
        <v>0</v>
      </c>
      <c r="AT200">
        <f t="shared" si="138"/>
        <v>0</v>
      </c>
      <c r="AU200">
        <f t="shared" si="139"/>
        <v>0</v>
      </c>
      <c r="AV200">
        <f t="shared" si="140"/>
        <v>0</v>
      </c>
      <c r="AW200">
        <f t="shared" si="141"/>
        <v>0</v>
      </c>
      <c r="AX200">
        <f t="shared" si="142"/>
        <v>0</v>
      </c>
      <c r="AY200">
        <f t="shared" si="143"/>
        <v>0</v>
      </c>
      <c r="AZ200" t="s">
        <v>246</v>
      </c>
    </row>
    <row r="201" spans="1:52">
      <c r="A201">
        <v>200</v>
      </c>
      <c r="B201" s="14">
        <v>46180</v>
      </c>
      <c r="C201" t="s">
        <v>22</v>
      </c>
      <c r="D201" t="s">
        <v>4</v>
      </c>
      <c r="E201" t="s">
        <v>259</v>
      </c>
      <c r="F201" t="s">
        <v>12</v>
      </c>
      <c r="G201">
        <v>0</v>
      </c>
      <c r="H201">
        <v>2</v>
      </c>
      <c r="I201" t="s">
        <v>248</v>
      </c>
      <c r="J201" t="s">
        <v>248</v>
      </c>
      <c r="K201" t="s">
        <v>258</v>
      </c>
      <c r="L201" t="s">
        <v>191</v>
      </c>
      <c r="M201" t="s">
        <v>11</v>
      </c>
      <c r="N201" t="s">
        <v>190</v>
      </c>
      <c r="O201">
        <f t="shared" si="111"/>
        <v>0</v>
      </c>
      <c r="P201">
        <f t="shared" si="112"/>
        <v>0</v>
      </c>
      <c r="Q201">
        <f t="shared" si="113"/>
        <v>0</v>
      </c>
      <c r="R201">
        <f t="shared" si="114"/>
        <v>0</v>
      </c>
      <c r="S201">
        <f t="shared" si="115"/>
        <v>0</v>
      </c>
      <c r="T201">
        <f t="shared" si="116"/>
        <v>0</v>
      </c>
      <c r="U201">
        <f t="shared" si="117"/>
        <v>0</v>
      </c>
      <c r="V201">
        <f t="shared" si="118"/>
        <v>0</v>
      </c>
      <c r="W201">
        <f t="shared" si="119"/>
        <v>0</v>
      </c>
      <c r="X201">
        <f t="shared" si="120"/>
        <v>0</v>
      </c>
      <c r="Y201">
        <f t="shared" si="121"/>
        <v>0</v>
      </c>
      <c r="Z201">
        <f t="shared" si="122"/>
        <v>0</v>
      </c>
      <c r="AA201">
        <f t="shared" si="123"/>
        <v>0</v>
      </c>
      <c r="AB201">
        <f t="shared" si="124"/>
        <v>0</v>
      </c>
      <c r="AC201">
        <f t="shared" si="125"/>
        <v>0</v>
      </c>
      <c r="AD201">
        <f t="shared" si="126"/>
        <v>0</v>
      </c>
      <c r="AE201">
        <f t="shared" si="127"/>
        <v>0</v>
      </c>
      <c r="AF201">
        <f t="shared" si="128"/>
        <v>0</v>
      </c>
      <c r="AG201">
        <f t="shared" si="129"/>
        <v>0</v>
      </c>
      <c r="AH201">
        <f t="shared" si="130"/>
        <v>0</v>
      </c>
      <c r="AI201">
        <f t="shared" si="131"/>
        <v>0</v>
      </c>
      <c r="AJ201">
        <f t="shared" si="132"/>
        <v>0</v>
      </c>
      <c r="AK201">
        <f t="shared" si="133"/>
        <v>0</v>
      </c>
      <c r="AL201">
        <f t="shared" si="144"/>
        <v>0</v>
      </c>
      <c r="AM201">
        <f t="shared" si="145"/>
        <v>0</v>
      </c>
      <c r="AN201">
        <f t="shared" si="134"/>
        <v>0</v>
      </c>
      <c r="AO201">
        <f t="shared" si="135"/>
        <v>0</v>
      </c>
      <c r="AP201">
        <f t="shared" si="136"/>
        <v>0</v>
      </c>
      <c r="AQ201">
        <f t="shared" si="146"/>
        <v>0</v>
      </c>
      <c r="AR201">
        <f t="shared" si="147"/>
        <v>0</v>
      </c>
      <c r="AS201">
        <f t="shared" si="137"/>
        <v>0</v>
      </c>
      <c r="AT201">
        <f t="shared" si="138"/>
        <v>0</v>
      </c>
      <c r="AU201">
        <f t="shared" si="139"/>
        <v>0</v>
      </c>
      <c r="AV201">
        <f t="shared" si="140"/>
        <v>0</v>
      </c>
      <c r="AW201">
        <f t="shared" si="141"/>
        <v>0</v>
      </c>
      <c r="AX201">
        <f t="shared" si="142"/>
        <v>0</v>
      </c>
      <c r="AY201">
        <f t="shared" si="143"/>
        <v>0</v>
      </c>
      <c r="AZ201" t="s">
        <v>246</v>
      </c>
    </row>
    <row r="202" spans="1:52">
      <c r="A202">
        <v>201</v>
      </c>
      <c r="B202" s="14">
        <v>46180</v>
      </c>
      <c r="C202" t="s">
        <v>22</v>
      </c>
      <c r="D202" t="s">
        <v>9</v>
      </c>
      <c r="E202" t="s">
        <v>257</v>
      </c>
      <c r="F202" t="s">
        <v>12</v>
      </c>
      <c r="G202">
        <v>8</v>
      </c>
      <c r="H202">
        <v>10</v>
      </c>
      <c r="I202" t="s">
        <v>248</v>
      </c>
      <c r="J202" t="s">
        <v>248</v>
      </c>
      <c r="K202" t="s">
        <v>256</v>
      </c>
      <c r="L202" t="s">
        <v>191</v>
      </c>
      <c r="M202" t="s">
        <v>11</v>
      </c>
      <c r="N202" t="s">
        <v>198</v>
      </c>
      <c r="O202">
        <f t="shared" si="111"/>
        <v>0</v>
      </c>
      <c r="P202">
        <f t="shared" si="112"/>
        <v>0</v>
      </c>
      <c r="Q202">
        <f t="shared" si="113"/>
        <v>0</v>
      </c>
      <c r="R202">
        <f t="shared" si="114"/>
        <v>0</v>
      </c>
      <c r="S202">
        <f t="shared" si="115"/>
        <v>0</v>
      </c>
      <c r="T202">
        <f t="shared" si="116"/>
        <v>0</v>
      </c>
      <c r="U202">
        <f t="shared" si="117"/>
        <v>0</v>
      </c>
      <c r="V202">
        <f t="shared" si="118"/>
        <v>0</v>
      </c>
      <c r="W202">
        <f t="shared" si="119"/>
        <v>0</v>
      </c>
      <c r="X202">
        <f t="shared" si="120"/>
        <v>0</v>
      </c>
      <c r="Y202">
        <f t="shared" si="121"/>
        <v>0</v>
      </c>
      <c r="Z202">
        <f t="shared" si="122"/>
        <v>0</v>
      </c>
      <c r="AA202">
        <f t="shared" si="123"/>
        <v>0</v>
      </c>
      <c r="AB202">
        <f t="shared" si="124"/>
        <v>0</v>
      </c>
      <c r="AC202">
        <f t="shared" si="125"/>
        <v>0</v>
      </c>
      <c r="AD202">
        <f t="shared" si="126"/>
        <v>0</v>
      </c>
      <c r="AE202">
        <f t="shared" si="127"/>
        <v>0</v>
      </c>
      <c r="AF202">
        <f t="shared" si="128"/>
        <v>0</v>
      </c>
      <c r="AG202">
        <f t="shared" si="129"/>
        <v>0</v>
      </c>
      <c r="AH202">
        <f t="shared" si="130"/>
        <v>0</v>
      </c>
      <c r="AI202">
        <f t="shared" si="131"/>
        <v>0</v>
      </c>
      <c r="AJ202">
        <f t="shared" si="132"/>
        <v>0</v>
      </c>
      <c r="AK202">
        <f t="shared" si="133"/>
        <v>0</v>
      </c>
      <c r="AL202">
        <f t="shared" si="144"/>
        <v>0</v>
      </c>
      <c r="AM202">
        <f t="shared" si="145"/>
        <v>0</v>
      </c>
      <c r="AN202">
        <f t="shared" si="134"/>
        <v>0</v>
      </c>
      <c r="AO202">
        <f t="shared" si="135"/>
        <v>0</v>
      </c>
      <c r="AP202">
        <f t="shared" si="136"/>
        <v>0</v>
      </c>
      <c r="AQ202">
        <f t="shared" si="146"/>
        <v>0</v>
      </c>
      <c r="AR202">
        <f t="shared" si="147"/>
        <v>0</v>
      </c>
      <c r="AS202">
        <f t="shared" si="137"/>
        <v>0</v>
      </c>
      <c r="AT202">
        <f t="shared" si="138"/>
        <v>0</v>
      </c>
      <c r="AU202">
        <f t="shared" si="139"/>
        <v>0</v>
      </c>
      <c r="AV202">
        <f t="shared" si="140"/>
        <v>0</v>
      </c>
      <c r="AW202">
        <f t="shared" si="141"/>
        <v>0</v>
      </c>
      <c r="AX202">
        <f t="shared" si="142"/>
        <v>0</v>
      </c>
      <c r="AY202">
        <f t="shared" si="143"/>
        <v>0</v>
      </c>
      <c r="AZ202" t="s">
        <v>246</v>
      </c>
    </row>
    <row r="203" spans="1:52">
      <c r="A203">
        <v>202</v>
      </c>
      <c r="B203" s="14">
        <v>46180</v>
      </c>
      <c r="C203" t="s">
        <v>22</v>
      </c>
      <c r="D203" t="s">
        <v>9</v>
      </c>
      <c r="E203" t="s">
        <v>255</v>
      </c>
      <c r="F203" t="s">
        <v>17</v>
      </c>
      <c r="G203">
        <v>4</v>
      </c>
      <c r="H203">
        <v>7</v>
      </c>
      <c r="I203" t="s">
        <v>248</v>
      </c>
      <c r="J203" t="s">
        <v>248</v>
      </c>
      <c r="K203" t="s">
        <v>254</v>
      </c>
      <c r="L203" t="s">
        <v>191</v>
      </c>
      <c r="M203" t="s">
        <v>11</v>
      </c>
      <c r="N203" t="s">
        <v>206</v>
      </c>
      <c r="O203">
        <f t="shared" si="111"/>
        <v>0</v>
      </c>
      <c r="P203">
        <f t="shared" si="112"/>
        <v>0</v>
      </c>
      <c r="Q203">
        <f t="shared" si="113"/>
        <v>1</v>
      </c>
      <c r="R203">
        <f t="shared" si="114"/>
        <v>0</v>
      </c>
      <c r="S203">
        <f t="shared" si="115"/>
        <v>0</v>
      </c>
      <c r="T203">
        <f t="shared" si="116"/>
        <v>0</v>
      </c>
      <c r="U203">
        <f t="shared" si="117"/>
        <v>0</v>
      </c>
      <c r="V203">
        <f t="shared" si="118"/>
        <v>0</v>
      </c>
      <c r="W203">
        <f t="shared" si="119"/>
        <v>0</v>
      </c>
      <c r="X203">
        <f t="shared" si="120"/>
        <v>1</v>
      </c>
      <c r="Y203">
        <f t="shared" si="121"/>
        <v>0</v>
      </c>
      <c r="Z203">
        <f t="shared" si="122"/>
        <v>0</v>
      </c>
      <c r="AA203">
        <f t="shared" si="123"/>
        <v>0</v>
      </c>
      <c r="AB203">
        <f t="shared" si="124"/>
        <v>0</v>
      </c>
      <c r="AC203">
        <f t="shared" si="125"/>
        <v>0</v>
      </c>
      <c r="AD203">
        <f t="shared" si="126"/>
        <v>0</v>
      </c>
      <c r="AE203">
        <f t="shared" si="127"/>
        <v>0</v>
      </c>
      <c r="AF203">
        <f t="shared" si="128"/>
        <v>0</v>
      </c>
      <c r="AG203">
        <f t="shared" si="129"/>
        <v>0</v>
      </c>
      <c r="AH203">
        <f t="shared" si="130"/>
        <v>0</v>
      </c>
      <c r="AI203">
        <f t="shared" si="131"/>
        <v>0</v>
      </c>
      <c r="AJ203">
        <f t="shared" si="132"/>
        <v>0</v>
      </c>
      <c r="AK203">
        <f t="shared" si="133"/>
        <v>0</v>
      </c>
      <c r="AL203">
        <f t="shared" si="144"/>
        <v>0</v>
      </c>
      <c r="AM203">
        <f t="shared" si="145"/>
        <v>0</v>
      </c>
      <c r="AN203">
        <f t="shared" si="134"/>
        <v>0</v>
      </c>
      <c r="AO203">
        <f t="shared" si="135"/>
        <v>0</v>
      </c>
      <c r="AP203">
        <f t="shared" si="136"/>
        <v>0</v>
      </c>
      <c r="AQ203">
        <f t="shared" si="146"/>
        <v>0</v>
      </c>
      <c r="AR203">
        <f t="shared" si="147"/>
        <v>0</v>
      </c>
      <c r="AS203">
        <f t="shared" si="137"/>
        <v>0</v>
      </c>
      <c r="AT203">
        <f t="shared" si="138"/>
        <v>0</v>
      </c>
      <c r="AU203">
        <f t="shared" si="139"/>
        <v>0</v>
      </c>
      <c r="AV203">
        <f t="shared" si="140"/>
        <v>0</v>
      </c>
      <c r="AW203">
        <f t="shared" si="141"/>
        <v>0</v>
      </c>
      <c r="AX203">
        <f t="shared" si="142"/>
        <v>0</v>
      </c>
      <c r="AY203">
        <f t="shared" si="143"/>
        <v>0</v>
      </c>
      <c r="AZ203" t="s">
        <v>246</v>
      </c>
    </row>
    <row r="204" spans="1:52">
      <c r="A204">
        <v>203</v>
      </c>
      <c r="B204" s="14">
        <v>46180</v>
      </c>
      <c r="C204" t="s">
        <v>22</v>
      </c>
      <c r="D204" t="s">
        <v>9</v>
      </c>
      <c r="E204" t="s">
        <v>253</v>
      </c>
      <c r="F204" t="s">
        <v>3</v>
      </c>
      <c r="G204">
        <v>6</v>
      </c>
      <c r="H204">
        <v>8</v>
      </c>
      <c r="I204" t="s">
        <v>248</v>
      </c>
      <c r="J204" t="s">
        <v>248</v>
      </c>
      <c r="K204" t="s">
        <v>252</v>
      </c>
      <c r="L204" t="s">
        <v>191</v>
      </c>
      <c r="M204" t="s">
        <v>11</v>
      </c>
      <c r="N204" t="s">
        <v>198</v>
      </c>
      <c r="O204">
        <f t="shared" si="111"/>
        <v>0</v>
      </c>
      <c r="P204">
        <f t="shared" si="112"/>
        <v>0</v>
      </c>
      <c r="Q204">
        <f t="shared" si="113"/>
        <v>0</v>
      </c>
      <c r="R204">
        <f t="shared" si="114"/>
        <v>0</v>
      </c>
      <c r="S204">
        <f t="shared" si="115"/>
        <v>0</v>
      </c>
      <c r="T204">
        <f t="shared" si="116"/>
        <v>0</v>
      </c>
      <c r="U204">
        <f t="shared" si="117"/>
        <v>0</v>
      </c>
      <c r="V204">
        <f t="shared" si="118"/>
        <v>0</v>
      </c>
      <c r="W204">
        <f t="shared" si="119"/>
        <v>0</v>
      </c>
      <c r="X204">
        <f t="shared" si="120"/>
        <v>0</v>
      </c>
      <c r="Y204">
        <f t="shared" si="121"/>
        <v>0</v>
      </c>
      <c r="Z204">
        <f t="shared" si="122"/>
        <v>0</v>
      </c>
      <c r="AA204">
        <f t="shared" si="123"/>
        <v>0</v>
      </c>
      <c r="AB204">
        <f t="shared" si="124"/>
        <v>0</v>
      </c>
      <c r="AC204">
        <f t="shared" si="125"/>
        <v>0</v>
      </c>
      <c r="AD204">
        <f t="shared" si="126"/>
        <v>0</v>
      </c>
      <c r="AE204">
        <f t="shared" si="127"/>
        <v>0</v>
      </c>
      <c r="AF204">
        <f t="shared" si="128"/>
        <v>0</v>
      </c>
      <c r="AG204">
        <f t="shared" si="129"/>
        <v>0</v>
      </c>
      <c r="AH204">
        <f t="shared" si="130"/>
        <v>0</v>
      </c>
      <c r="AI204">
        <f t="shared" si="131"/>
        <v>0</v>
      </c>
      <c r="AJ204">
        <f t="shared" si="132"/>
        <v>0</v>
      </c>
      <c r="AK204">
        <f t="shared" si="133"/>
        <v>0</v>
      </c>
      <c r="AL204">
        <f t="shared" si="144"/>
        <v>0</v>
      </c>
      <c r="AM204">
        <f t="shared" si="145"/>
        <v>0</v>
      </c>
      <c r="AN204">
        <f t="shared" si="134"/>
        <v>0</v>
      </c>
      <c r="AO204">
        <f t="shared" si="135"/>
        <v>0</v>
      </c>
      <c r="AP204">
        <f t="shared" si="136"/>
        <v>0</v>
      </c>
      <c r="AQ204">
        <f t="shared" si="146"/>
        <v>0</v>
      </c>
      <c r="AR204">
        <f t="shared" si="147"/>
        <v>0</v>
      </c>
      <c r="AS204">
        <f t="shared" si="137"/>
        <v>0</v>
      </c>
      <c r="AT204">
        <f t="shared" si="138"/>
        <v>0</v>
      </c>
      <c r="AU204">
        <f t="shared" si="139"/>
        <v>0</v>
      </c>
      <c r="AV204">
        <f t="shared" si="140"/>
        <v>0</v>
      </c>
      <c r="AW204">
        <f t="shared" si="141"/>
        <v>0</v>
      </c>
      <c r="AX204">
        <f t="shared" si="142"/>
        <v>0</v>
      </c>
      <c r="AY204">
        <f t="shared" si="143"/>
        <v>0</v>
      </c>
      <c r="AZ204" t="s">
        <v>246</v>
      </c>
    </row>
    <row r="205" spans="1:52">
      <c r="A205">
        <v>204</v>
      </c>
      <c r="B205" s="14">
        <v>46180</v>
      </c>
      <c r="C205" t="s">
        <v>22</v>
      </c>
      <c r="D205" t="s">
        <v>9</v>
      </c>
      <c r="E205" t="s">
        <v>251</v>
      </c>
      <c r="F205" t="s">
        <v>3</v>
      </c>
      <c r="G205">
        <v>8</v>
      </c>
      <c r="H205">
        <v>10</v>
      </c>
      <c r="I205" t="s">
        <v>248</v>
      </c>
      <c r="J205" t="s">
        <v>248</v>
      </c>
      <c r="K205" t="s">
        <v>250</v>
      </c>
      <c r="L205" t="s">
        <v>191</v>
      </c>
      <c r="M205" t="s">
        <v>11</v>
      </c>
      <c r="N205" t="s">
        <v>206</v>
      </c>
      <c r="O205">
        <f t="shared" si="111"/>
        <v>1</v>
      </c>
      <c r="P205">
        <f t="shared" si="112"/>
        <v>0</v>
      </c>
      <c r="Q205">
        <f t="shared" si="113"/>
        <v>1</v>
      </c>
      <c r="R205">
        <f t="shared" si="114"/>
        <v>0</v>
      </c>
      <c r="S205">
        <f t="shared" si="115"/>
        <v>0</v>
      </c>
      <c r="T205">
        <f t="shared" si="116"/>
        <v>0</v>
      </c>
      <c r="U205">
        <f t="shared" si="117"/>
        <v>1</v>
      </c>
      <c r="V205">
        <f t="shared" si="118"/>
        <v>0</v>
      </c>
      <c r="W205">
        <f t="shared" si="119"/>
        <v>0</v>
      </c>
      <c r="X205">
        <f t="shared" si="120"/>
        <v>1</v>
      </c>
      <c r="Y205">
        <f t="shared" si="121"/>
        <v>0</v>
      </c>
      <c r="Z205">
        <f t="shared" si="122"/>
        <v>0</v>
      </c>
      <c r="AA205">
        <f t="shared" si="123"/>
        <v>0</v>
      </c>
      <c r="AB205">
        <f t="shared" si="124"/>
        <v>0</v>
      </c>
      <c r="AC205">
        <f t="shared" si="125"/>
        <v>0</v>
      </c>
      <c r="AD205">
        <f t="shared" si="126"/>
        <v>1</v>
      </c>
      <c r="AE205">
        <f t="shared" si="127"/>
        <v>0</v>
      </c>
      <c r="AF205">
        <f t="shared" si="128"/>
        <v>0</v>
      </c>
      <c r="AG205">
        <f t="shared" si="129"/>
        <v>0</v>
      </c>
      <c r="AH205">
        <f t="shared" si="130"/>
        <v>0</v>
      </c>
      <c r="AI205">
        <f t="shared" si="131"/>
        <v>0</v>
      </c>
      <c r="AJ205">
        <f t="shared" si="132"/>
        <v>0</v>
      </c>
      <c r="AK205">
        <f t="shared" si="133"/>
        <v>1</v>
      </c>
      <c r="AL205">
        <f t="shared" si="144"/>
        <v>0</v>
      </c>
      <c r="AM205">
        <f t="shared" si="145"/>
        <v>0</v>
      </c>
      <c r="AN205">
        <f t="shared" si="134"/>
        <v>0</v>
      </c>
      <c r="AO205">
        <f t="shared" si="135"/>
        <v>0</v>
      </c>
      <c r="AP205">
        <f t="shared" si="136"/>
        <v>0</v>
      </c>
      <c r="AQ205">
        <f t="shared" si="146"/>
        <v>0</v>
      </c>
      <c r="AR205">
        <f t="shared" si="147"/>
        <v>0</v>
      </c>
      <c r="AS205">
        <f t="shared" si="137"/>
        <v>0</v>
      </c>
      <c r="AT205">
        <f t="shared" si="138"/>
        <v>0</v>
      </c>
      <c r="AU205">
        <f t="shared" si="139"/>
        <v>0</v>
      </c>
      <c r="AV205">
        <f t="shared" si="140"/>
        <v>0</v>
      </c>
      <c r="AW205">
        <f t="shared" si="141"/>
        <v>0</v>
      </c>
      <c r="AX205">
        <f t="shared" si="142"/>
        <v>0</v>
      </c>
      <c r="AY205">
        <f t="shared" si="143"/>
        <v>0</v>
      </c>
      <c r="AZ205" t="s">
        <v>246</v>
      </c>
    </row>
    <row r="206" spans="1:52">
      <c r="A206">
        <v>205</v>
      </c>
      <c r="B206" s="14">
        <v>46180</v>
      </c>
      <c r="C206" t="s">
        <v>22</v>
      </c>
      <c r="D206" t="s">
        <v>9</v>
      </c>
      <c r="E206" t="s">
        <v>249</v>
      </c>
      <c r="F206" t="s">
        <v>5</v>
      </c>
      <c r="G206">
        <v>7</v>
      </c>
      <c r="H206">
        <v>9</v>
      </c>
      <c r="I206" t="s">
        <v>248</v>
      </c>
      <c r="J206" t="s">
        <v>248</v>
      </c>
      <c r="K206" t="s">
        <v>247</v>
      </c>
      <c r="L206" t="s">
        <v>191</v>
      </c>
      <c r="M206" t="s">
        <v>11</v>
      </c>
      <c r="N206" t="s">
        <v>198</v>
      </c>
      <c r="O206">
        <f t="shared" si="111"/>
        <v>1</v>
      </c>
      <c r="P206">
        <f t="shared" si="112"/>
        <v>0</v>
      </c>
      <c r="Q206">
        <f t="shared" si="113"/>
        <v>1</v>
      </c>
      <c r="R206">
        <f t="shared" si="114"/>
        <v>0</v>
      </c>
      <c r="S206">
        <f t="shared" si="115"/>
        <v>0</v>
      </c>
      <c r="T206">
        <f t="shared" si="116"/>
        <v>0</v>
      </c>
      <c r="U206">
        <f t="shared" si="117"/>
        <v>0</v>
      </c>
      <c r="V206">
        <f t="shared" si="118"/>
        <v>0</v>
      </c>
      <c r="W206">
        <f t="shared" si="119"/>
        <v>0</v>
      </c>
      <c r="X206">
        <f t="shared" si="120"/>
        <v>0</v>
      </c>
      <c r="Y206">
        <f t="shared" si="121"/>
        <v>0</v>
      </c>
      <c r="Z206">
        <f t="shared" si="122"/>
        <v>0</v>
      </c>
      <c r="AA206">
        <f t="shared" si="123"/>
        <v>0</v>
      </c>
      <c r="AB206">
        <f t="shared" si="124"/>
        <v>0</v>
      </c>
      <c r="AC206">
        <f t="shared" si="125"/>
        <v>1</v>
      </c>
      <c r="AD206">
        <f t="shared" si="126"/>
        <v>1</v>
      </c>
      <c r="AE206">
        <f t="shared" si="127"/>
        <v>0</v>
      </c>
      <c r="AF206">
        <f t="shared" si="128"/>
        <v>0</v>
      </c>
      <c r="AG206">
        <f t="shared" si="129"/>
        <v>0</v>
      </c>
      <c r="AH206">
        <f t="shared" si="130"/>
        <v>0</v>
      </c>
      <c r="AI206">
        <f t="shared" si="131"/>
        <v>0</v>
      </c>
      <c r="AJ206">
        <f t="shared" si="132"/>
        <v>1</v>
      </c>
      <c r="AK206">
        <f t="shared" si="133"/>
        <v>0</v>
      </c>
      <c r="AL206">
        <f t="shared" si="144"/>
        <v>0</v>
      </c>
      <c r="AM206">
        <f t="shared" si="145"/>
        <v>0</v>
      </c>
      <c r="AN206">
        <f t="shared" si="134"/>
        <v>0</v>
      </c>
      <c r="AO206">
        <f t="shared" si="135"/>
        <v>0</v>
      </c>
      <c r="AP206">
        <f t="shared" si="136"/>
        <v>0</v>
      </c>
      <c r="AQ206">
        <f t="shared" si="146"/>
        <v>0</v>
      </c>
      <c r="AR206">
        <f t="shared" si="147"/>
        <v>0</v>
      </c>
      <c r="AS206">
        <f t="shared" si="137"/>
        <v>0</v>
      </c>
      <c r="AT206">
        <f t="shared" si="138"/>
        <v>0</v>
      </c>
      <c r="AU206">
        <f t="shared" si="139"/>
        <v>0</v>
      </c>
      <c r="AV206">
        <f t="shared" si="140"/>
        <v>0</v>
      </c>
      <c r="AW206">
        <f t="shared" si="141"/>
        <v>0</v>
      </c>
      <c r="AX206">
        <f t="shared" si="142"/>
        <v>0</v>
      </c>
      <c r="AY206">
        <f t="shared" si="143"/>
        <v>0</v>
      </c>
      <c r="AZ206" t="s">
        <v>246</v>
      </c>
    </row>
    <row r="207" spans="1:52" ht="28.8">
      <c r="A207">
        <v>206</v>
      </c>
      <c r="B207" s="14">
        <v>46180</v>
      </c>
      <c r="C207" t="s">
        <v>23</v>
      </c>
      <c r="D207" t="s">
        <v>4</v>
      </c>
      <c r="E207" s="2" t="s">
        <v>245</v>
      </c>
      <c r="F207" t="s">
        <v>12</v>
      </c>
      <c r="G207">
        <v>0</v>
      </c>
      <c r="H207">
        <v>0</v>
      </c>
      <c r="I207" s="3">
        <v>5000</v>
      </c>
      <c r="J207" s="3">
        <v>8000</v>
      </c>
      <c r="K207" t="s">
        <v>244</v>
      </c>
      <c r="L207" t="s">
        <v>191</v>
      </c>
      <c r="M207" t="s">
        <v>243</v>
      </c>
      <c r="N207" t="s">
        <v>190</v>
      </c>
      <c r="O207">
        <f t="shared" si="111"/>
        <v>0</v>
      </c>
      <c r="P207">
        <f t="shared" si="112"/>
        <v>0</v>
      </c>
      <c r="Q207">
        <f t="shared" si="113"/>
        <v>0</v>
      </c>
      <c r="R207">
        <f t="shared" si="114"/>
        <v>0</v>
      </c>
      <c r="S207">
        <f t="shared" si="115"/>
        <v>1</v>
      </c>
      <c r="T207">
        <f t="shared" si="116"/>
        <v>0</v>
      </c>
      <c r="U207">
        <f t="shared" si="117"/>
        <v>0</v>
      </c>
      <c r="V207">
        <f t="shared" si="118"/>
        <v>0</v>
      </c>
      <c r="W207">
        <f t="shared" si="119"/>
        <v>0</v>
      </c>
      <c r="X207">
        <f t="shared" si="120"/>
        <v>0</v>
      </c>
      <c r="Y207">
        <f t="shared" si="121"/>
        <v>0</v>
      </c>
      <c r="Z207">
        <f t="shared" si="122"/>
        <v>0</v>
      </c>
      <c r="AA207">
        <f t="shared" si="123"/>
        <v>0</v>
      </c>
      <c r="AB207">
        <f t="shared" si="124"/>
        <v>0</v>
      </c>
      <c r="AC207">
        <f t="shared" si="125"/>
        <v>0</v>
      </c>
      <c r="AD207">
        <f t="shared" si="126"/>
        <v>0</v>
      </c>
      <c r="AE207">
        <f t="shared" si="127"/>
        <v>0</v>
      </c>
      <c r="AF207">
        <f t="shared" si="128"/>
        <v>0</v>
      </c>
      <c r="AG207">
        <f t="shared" si="129"/>
        <v>0</v>
      </c>
      <c r="AH207">
        <f t="shared" si="130"/>
        <v>0</v>
      </c>
      <c r="AI207">
        <f t="shared" si="131"/>
        <v>0</v>
      </c>
      <c r="AJ207">
        <f t="shared" si="132"/>
        <v>0</v>
      </c>
      <c r="AK207">
        <f t="shared" si="133"/>
        <v>0</v>
      </c>
      <c r="AL207">
        <f t="shared" si="144"/>
        <v>0</v>
      </c>
      <c r="AM207">
        <f t="shared" si="145"/>
        <v>0</v>
      </c>
      <c r="AN207">
        <f t="shared" si="134"/>
        <v>0</v>
      </c>
      <c r="AO207">
        <f t="shared" si="135"/>
        <v>0</v>
      </c>
      <c r="AP207">
        <f t="shared" si="136"/>
        <v>0</v>
      </c>
      <c r="AQ207">
        <f t="shared" si="146"/>
        <v>0</v>
      </c>
      <c r="AR207">
        <f t="shared" si="147"/>
        <v>0</v>
      </c>
      <c r="AS207">
        <f t="shared" si="137"/>
        <v>0</v>
      </c>
      <c r="AT207">
        <f t="shared" si="138"/>
        <v>0</v>
      </c>
      <c r="AU207">
        <f t="shared" si="139"/>
        <v>0</v>
      </c>
      <c r="AV207">
        <f t="shared" si="140"/>
        <v>0</v>
      </c>
      <c r="AW207">
        <f t="shared" si="141"/>
        <v>0</v>
      </c>
      <c r="AX207">
        <f t="shared" si="142"/>
        <v>0</v>
      </c>
      <c r="AY207">
        <f t="shared" si="143"/>
        <v>0</v>
      </c>
      <c r="AZ207" t="s">
        <v>64</v>
      </c>
    </row>
    <row r="208" spans="1:52">
      <c r="A208">
        <v>207</v>
      </c>
      <c r="B208" s="14">
        <v>46180</v>
      </c>
      <c r="C208" t="s">
        <v>23</v>
      </c>
      <c r="D208" t="s">
        <v>2</v>
      </c>
      <c r="E208" t="s">
        <v>242</v>
      </c>
      <c r="F208" t="s">
        <v>20</v>
      </c>
      <c r="G208">
        <v>0</v>
      </c>
      <c r="H208">
        <v>0</v>
      </c>
      <c r="I208">
        <v>10000</v>
      </c>
      <c r="J208">
        <v>20000</v>
      </c>
      <c r="K208" t="s">
        <v>240</v>
      </c>
      <c r="L208" t="s">
        <v>191</v>
      </c>
      <c r="M208" t="s">
        <v>20</v>
      </c>
      <c r="N208" t="s">
        <v>190</v>
      </c>
      <c r="O208">
        <f t="shared" si="111"/>
        <v>1</v>
      </c>
      <c r="P208">
        <f t="shared" si="112"/>
        <v>1</v>
      </c>
      <c r="Q208">
        <f t="shared" si="113"/>
        <v>1</v>
      </c>
      <c r="R208">
        <f t="shared" si="114"/>
        <v>1</v>
      </c>
      <c r="S208">
        <f t="shared" si="115"/>
        <v>1</v>
      </c>
      <c r="T208">
        <f t="shared" si="116"/>
        <v>0</v>
      </c>
      <c r="U208">
        <f t="shared" si="117"/>
        <v>0</v>
      </c>
      <c r="V208">
        <f t="shared" si="118"/>
        <v>0</v>
      </c>
      <c r="W208">
        <f t="shared" si="119"/>
        <v>0</v>
      </c>
      <c r="X208">
        <f t="shared" si="120"/>
        <v>0</v>
      </c>
      <c r="Y208">
        <f t="shared" si="121"/>
        <v>0</v>
      </c>
      <c r="Z208">
        <f t="shared" si="122"/>
        <v>0</v>
      </c>
      <c r="AA208">
        <f t="shared" si="123"/>
        <v>0</v>
      </c>
      <c r="AB208">
        <f t="shared" si="124"/>
        <v>0</v>
      </c>
      <c r="AC208">
        <f t="shared" si="125"/>
        <v>0</v>
      </c>
      <c r="AD208">
        <f t="shared" si="126"/>
        <v>0</v>
      </c>
      <c r="AE208">
        <f t="shared" si="127"/>
        <v>0</v>
      </c>
      <c r="AF208">
        <f t="shared" si="128"/>
        <v>0</v>
      </c>
      <c r="AG208">
        <f t="shared" si="129"/>
        <v>0</v>
      </c>
      <c r="AH208">
        <f t="shared" si="130"/>
        <v>0</v>
      </c>
      <c r="AI208">
        <f t="shared" si="131"/>
        <v>0</v>
      </c>
      <c r="AJ208">
        <f t="shared" si="132"/>
        <v>0</v>
      </c>
      <c r="AK208">
        <f t="shared" si="133"/>
        <v>0</v>
      </c>
      <c r="AL208">
        <f t="shared" si="144"/>
        <v>0</v>
      </c>
      <c r="AM208">
        <f t="shared" si="145"/>
        <v>0</v>
      </c>
      <c r="AN208">
        <f t="shared" si="134"/>
        <v>0</v>
      </c>
      <c r="AO208">
        <f t="shared" si="135"/>
        <v>0</v>
      </c>
      <c r="AP208">
        <f t="shared" si="136"/>
        <v>0</v>
      </c>
      <c r="AQ208">
        <f t="shared" si="146"/>
        <v>0</v>
      </c>
      <c r="AR208">
        <f t="shared" si="147"/>
        <v>0</v>
      </c>
      <c r="AS208">
        <f t="shared" si="137"/>
        <v>0</v>
      </c>
      <c r="AT208">
        <f t="shared" si="138"/>
        <v>0</v>
      </c>
      <c r="AU208">
        <f t="shared" si="139"/>
        <v>0</v>
      </c>
      <c r="AV208">
        <f t="shared" si="140"/>
        <v>0</v>
      </c>
      <c r="AW208">
        <f t="shared" si="141"/>
        <v>0</v>
      </c>
      <c r="AX208">
        <f t="shared" si="142"/>
        <v>0</v>
      </c>
      <c r="AY208">
        <f t="shared" si="143"/>
        <v>0</v>
      </c>
      <c r="AZ208" t="s">
        <v>64</v>
      </c>
    </row>
    <row r="209" spans="1:52">
      <c r="A209">
        <v>208</v>
      </c>
      <c r="B209" s="14">
        <v>46180</v>
      </c>
      <c r="C209" t="s">
        <v>23</v>
      </c>
      <c r="D209" t="s">
        <v>2</v>
      </c>
      <c r="E209" t="s">
        <v>241</v>
      </c>
      <c r="F209" t="s">
        <v>20</v>
      </c>
      <c r="G209">
        <v>0</v>
      </c>
      <c r="H209">
        <v>0</v>
      </c>
      <c r="I209">
        <v>10000</v>
      </c>
      <c r="J209">
        <v>20000</v>
      </c>
      <c r="K209" t="s">
        <v>240</v>
      </c>
      <c r="L209" t="s">
        <v>191</v>
      </c>
      <c r="M209" t="s">
        <v>20</v>
      </c>
      <c r="N209" t="s">
        <v>190</v>
      </c>
      <c r="O209">
        <f t="shared" si="111"/>
        <v>1</v>
      </c>
      <c r="P209">
        <f t="shared" si="112"/>
        <v>1</v>
      </c>
      <c r="Q209">
        <f t="shared" si="113"/>
        <v>1</v>
      </c>
      <c r="R209">
        <f t="shared" si="114"/>
        <v>1</v>
      </c>
      <c r="S209">
        <f t="shared" si="115"/>
        <v>1</v>
      </c>
      <c r="T209">
        <f t="shared" si="116"/>
        <v>0</v>
      </c>
      <c r="U209">
        <f t="shared" si="117"/>
        <v>0</v>
      </c>
      <c r="V209">
        <f t="shared" si="118"/>
        <v>0</v>
      </c>
      <c r="W209">
        <f t="shared" si="119"/>
        <v>0</v>
      </c>
      <c r="X209">
        <f t="shared" si="120"/>
        <v>0</v>
      </c>
      <c r="Y209">
        <f t="shared" si="121"/>
        <v>0</v>
      </c>
      <c r="Z209">
        <f t="shared" si="122"/>
        <v>0</v>
      </c>
      <c r="AA209">
        <f t="shared" si="123"/>
        <v>0</v>
      </c>
      <c r="AB209">
        <f t="shared" si="124"/>
        <v>0</v>
      </c>
      <c r="AC209">
        <f t="shared" si="125"/>
        <v>0</v>
      </c>
      <c r="AD209">
        <f t="shared" si="126"/>
        <v>0</v>
      </c>
      <c r="AE209">
        <f t="shared" si="127"/>
        <v>0</v>
      </c>
      <c r="AF209">
        <f t="shared" si="128"/>
        <v>0</v>
      </c>
      <c r="AG209">
        <f t="shared" si="129"/>
        <v>0</v>
      </c>
      <c r="AH209">
        <f t="shared" si="130"/>
        <v>0</v>
      </c>
      <c r="AI209">
        <f t="shared" si="131"/>
        <v>0</v>
      </c>
      <c r="AJ209">
        <f t="shared" si="132"/>
        <v>0</v>
      </c>
      <c r="AK209">
        <f t="shared" si="133"/>
        <v>0</v>
      </c>
      <c r="AL209">
        <f t="shared" si="144"/>
        <v>0</v>
      </c>
      <c r="AM209">
        <f t="shared" si="145"/>
        <v>0</v>
      </c>
      <c r="AN209">
        <f t="shared" si="134"/>
        <v>0</v>
      </c>
      <c r="AO209">
        <f t="shared" si="135"/>
        <v>0</v>
      </c>
      <c r="AP209">
        <f t="shared" si="136"/>
        <v>0</v>
      </c>
      <c r="AQ209">
        <f t="shared" si="146"/>
        <v>0</v>
      </c>
      <c r="AR209">
        <f t="shared" si="147"/>
        <v>0</v>
      </c>
      <c r="AS209">
        <f t="shared" si="137"/>
        <v>0</v>
      </c>
      <c r="AT209">
        <f t="shared" si="138"/>
        <v>0</v>
      </c>
      <c r="AU209">
        <f t="shared" si="139"/>
        <v>0</v>
      </c>
      <c r="AV209">
        <f t="shared" si="140"/>
        <v>0</v>
      </c>
      <c r="AW209">
        <f t="shared" si="141"/>
        <v>0</v>
      </c>
      <c r="AX209">
        <f t="shared" si="142"/>
        <v>0</v>
      </c>
      <c r="AY209">
        <f t="shared" si="143"/>
        <v>0</v>
      </c>
      <c r="AZ209" t="s">
        <v>64</v>
      </c>
    </row>
    <row r="210" spans="1:52">
      <c r="A210">
        <v>209</v>
      </c>
      <c r="B210" s="14">
        <v>46180</v>
      </c>
      <c r="C210" t="s">
        <v>24</v>
      </c>
      <c r="D210" t="s">
        <v>2</v>
      </c>
      <c r="E210" t="s">
        <v>239</v>
      </c>
      <c r="F210" t="s">
        <v>20</v>
      </c>
      <c r="G210">
        <v>0</v>
      </c>
      <c r="H210">
        <v>0</v>
      </c>
      <c r="I210">
        <v>5000</v>
      </c>
      <c r="J210">
        <v>10000</v>
      </c>
      <c r="K210" t="s">
        <v>238</v>
      </c>
      <c r="L210" t="s">
        <v>191</v>
      </c>
      <c r="M210" t="s">
        <v>20</v>
      </c>
      <c r="N210" t="s">
        <v>190</v>
      </c>
      <c r="O210">
        <f t="shared" si="111"/>
        <v>1</v>
      </c>
      <c r="P210">
        <f t="shared" si="112"/>
        <v>0</v>
      </c>
      <c r="Q210">
        <f t="shared" si="113"/>
        <v>1</v>
      </c>
      <c r="R210">
        <f t="shared" si="114"/>
        <v>1</v>
      </c>
      <c r="S210">
        <f t="shared" si="115"/>
        <v>1</v>
      </c>
      <c r="T210">
        <f t="shared" si="116"/>
        <v>0</v>
      </c>
      <c r="U210">
        <f t="shared" si="117"/>
        <v>0</v>
      </c>
      <c r="V210">
        <f t="shared" si="118"/>
        <v>0</v>
      </c>
      <c r="W210">
        <f t="shared" si="119"/>
        <v>0</v>
      </c>
      <c r="X210">
        <f t="shared" si="120"/>
        <v>0</v>
      </c>
      <c r="Y210">
        <f t="shared" si="121"/>
        <v>0</v>
      </c>
      <c r="Z210">
        <f t="shared" si="122"/>
        <v>0</v>
      </c>
      <c r="AA210">
        <f t="shared" si="123"/>
        <v>0</v>
      </c>
      <c r="AB210">
        <f t="shared" si="124"/>
        <v>0</v>
      </c>
      <c r="AC210">
        <f t="shared" si="125"/>
        <v>0</v>
      </c>
      <c r="AD210">
        <f t="shared" si="126"/>
        <v>0</v>
      </c>
      <c r="AE210">
        <f t="shared" si="127"/>
        <v>0</v>
      </c>
      <c r="AF210">
        <f t="shared" si="128"/>
        <v>0</v>
      </c>
      <c r="AG210">
        <f t="shared" si="129"/>
        <v>0</v>
      </c>
      <c r="AH210">
        <f t="shared" si="130"/>
        <v>0</v>
      </c>
      <c r="AI210">
        <f t="shared" si="131"/>
        <v>0</v>
      </c>
      <c r="AJ210">
        <f t="shared" si="132"/>
        <v>0</v>
      </c>
      <c r="AK210">
        <f t="shared" si="133"/>
        <v>0</v>
      </c>
      <c r="AL210">
        <f t="shared" si="144"/>
        <v>0</v>
      </c>
      <c r="AM210">
        <f t="shared" si="145"/>
        <v>0</v>
      </c>
      <c r="AN210">
        <f t="shared" si="134"/>
        <v>0</v>
      </c>
      <c r="AO210">
        <f t="shared" si="135"/>
        <v>0</v>
      </c>
      <c r="AP210">
        <f t="shared" si="136"/>
        <v>0</v>
      </c>
      <c r="AQ210">
        <f t="shared" si="146"/>
        <v>0</v>
      </c>
      <c r="AR210">
        <f t="shared" si="147"/>
        <v>0</v>
      </c>
      <c r="AS210">
        <f t="shared" si="137"/>
        <v>0</v>
      </c>
      <c r="AT210">
        <f t="shared" si="138"/>
        <v>0</v>
      </c>
      <c r="AU210">
        <f t="shared" si="139"/>
        <v>0</v>
      </c>
      <c r="AV210">
        <f t="shared" si="140"/>
        <v>0</v>
      </c>
      <c r="AW210">
        <f t="shared" si="141"/>
        <v>0</v>
      </c>
      <c r="AX210">
        <f t="shared" si="142"/>
        <v>0</v>
      </c>
      <c r="AY210">
        <f t="shared" si="143"/>
        <v>0</v>
      </c>
      <c r="AZ210" t="s">
        <v>64</v>
      </c>
    </row>
    <row r="211" spans="1:52">
      <c r="A211">
        <v>210</v>
      </c>
      <c r="B211" s="14">
        <v>46180</v>
      </c>
      <c r="C211" t="s">
        <v>24</v>
      </c>
      <c r="D211" t="s">
        <v>7</v>
      </c>
      <c r="E211" t="s">
        <v>237</v>
      </c>
      <c r="F211" t="s">
        <v>20</v>
      </c>
      <c r="G211">
        <v>0</v>
      </c>
      <c r="H211">
        <v>0</v>
      </c>
      <c r="I211">
        <v>12000</v>
      </c>
      <c r="J211">
        <v>15000</v>
      </c>
      <c r="K211" t="s">
        <v>21</v>
      </c>
      <c r="L211" t="s">
        <v>191</v>
      </c>
      <c r="M211" t="s">
        <v>20</v>
      </c>
      <c r="N211" t="s">
        <v>190</v>
      </c>
      <c r="O211">
        <f t="shared" si="111"/>
        <v>0</v>
      </c>
      <c r="P211">
        <f t="shared" si="112"/>
        <v>0</v>
      </c>
      <c r="Q211">
        <f t="shared" si="113"/>
        <v>0</v>
      </c>
      <c r="R211">
        <f t="shared" si="114"/>
        <v>0</v>
      </c>
      <c r="S211">
        <f t="shared" si="115"/>
        <v>1</v>
      </c>
      <c r="T211">
        <f t="shared" si="116"/>
        <v>0</v>
      </c>
      <c r="U211">
        <f t="shared" si="117"/>
        <v>0</v>
      </c>
      <c r="V211">
        <f t="shared" si="118"/>
        <v>0</v>
      </c>
      <c r="W211">
        <f t="shared" si="119"/>
        <v>0</v>
      </c>
      <c r="X211">
        <f t="shared" si="120"/>
        <v>0</v>
      </c>
      <c r="Y211">
        <f t="shared" si="121"/>
        <v>0</v>
      </c>
      <c r="Z211">
        <f t="shared" si="122"/>
        <v>0</v>
      </c>
      <c r="AA211">
        <f t="shared" si="123"/>
        <v>0</v>
      </c>
      <c r="AB211">
        <f t="shared" si="124"/>
        <v>0</v>
      </c>
      <c r="AC211">
        <f t="shared" si="125"/>
        <v>0</v>
      </c>
      <c r="AD211">
        <f t="shared" si="126"/>
        <v>0</v>
      </c>
      <c r="AE211">
        <f t="shared" si="127"/>
        <v>0</v>
      </c>
      <c r="AF211">
        <f t="shared" si="128"/>
        <v>0</v>
      </c>
      <c r="AG211">
        <f t="shared" si="129"/>
        <v>0</v>
      </c>
      <c r="AH211">
        <f t="shared" si="130"/>
        <v>0</v>
      </c>
      <c r="AI211">
        <f t="shared" si="131"/>
        <v>0</v>
      </c>
      <c r="AJ211">
        <f t="shared" si="132"/>
        <v>0</v>
      </c>
      <c r="AK211">
        <f t="shared" si="133"/>
        <v>0</v>
      </c>
      <c r="AL211">
        <f t="shared" si="144"/>
        <v>0</v>
      </c>
      <c r="AM211">
        <f t="shared" si="145"/>
        <v>0</v>
      </c>
      <c r="AN211">
        <f t="shared" si="134"/>
        <v>0</v>
      </c>
      <c r="AO211">
        <f t="shared" si="135"/>
        <v>0</v>
      </c>
      <c r="AP211">
        <f t="shared" si="136"/>
        <v>0</v>
      </c>
      <c r="AQ211">
        <f t="shared" si="146"/>
        <v>0</v>
      </c>
      <c r="AR211">
        <f t="shared" si="147"/>
        <v>0</v>
      </c>
      <c r="AS211">
        <f t="shared" si="137"/>
        <v>0</v>
      </c>
      <c r="AT211">
        <f t="shared" si="138"/>
        <v>0</v>
      </c>
      <c r="AU211">
        <f t="shared" si="139"/>
        <v>0</v>
      </c>
      <c r="AV211">
        <f t="shared" si="140"/>
        <v>0</v>
      </c>
      <c r="AW211">
        <f t="shared" si="141"/>
        <v>0</v>
      </c>
      <c r="AX211">
        <f t="shared" si="142"/>
        <v>0</v>
      </c>
      <c r="AY211">
        <f t="shared" si="143"/>
        <v>0</v>
      </c>
      <c r="AZ211" t="s">
        <v>64</v>
      </c>
    </row>
    <row r="212" spans="1:52">
      <c r="A212">
        <v>211</v>
      </c>
      <c r="B212" s="14">
        <v>46180</v>
      </c>
      <c r="C212" t="s">
        <v>24</v>
      </c>
      <c r="D212" t="s">
        <v>2</v>
      </c>
      <c r="E212" t="s">
        <v>236</v>
      </c>
      <c r="F212" t="s">
        <v>13</v>
      </c>
      <c r="G212">
        <v>0</v>
      </c>
      <c r="H212">
        <v>0</v>
      </c>
      <c r="I212" t="s">
        <v>193</v>
      </c>
      <c r="J212" t="s">
        <v>193</v>
      </c>
      <c r="K212" t="s">
        <v>235</v>
      </c>
      <c r="L212" t="s">
        <v>191</v>
      </c>
      <c r="M212" t="s">
        <v>11</v>
      </c>
      <c r="N212" t="s">
        <v>206</v>
      </c>
      <c r="O212">
        <f t="shared" si="111"/>
        <v>0</v>
      </c>
      <c r="P212">
        <f t="shared" si="112"/>
        <v>1</v>
      </c>
      <c r="Q212">
        <f t="shared" si="113"/>
        <v>0</v>
      </c>
      <c r="R212">
        <f t="shared" si="114"/>
        <v>0</v>
      </c>
      <c r="S212">
        <f t="shared" si="115"/>
        <v>0</v>
      </c>
      <c r="T212">
        <f t="shared" si="116"/>
        <v>0</v>
      </c>
      <c r="U212">
        <f t="shared" si="117"/>
        <v>0</v>
      </c>
      <c r="V212">
        <f t="shared" si="118"/>
        <v>0</v>
      </c>
      <c r="W212">
        <f t="shared" si="119"/>
        <v>0</v>
      </c>
      <c r="X212">
        <f t="shared" si="120"/>
        <v>0</v>
      </c>
      <c r="Y212">
        <f t="shared" si="121"/>
        <v>0</v>
      </c>
      <c r="Z212">
        <f t="shared" si="122"/>
        <v>0</v>
      </c>
      <c r="AA212">
        <f t="shared" si="123"/>
        <v>0</v>
      </c>
      <c r="AB212">
        <f t="shared" si="124"/>
        <v>0</v>
      </c>
      <c r="AC212">
        <f t="shared" si="125"/>
        <v>0</v>
      </c>
      <c r="AD212">
        <f t="shared" si="126"/>
        <v>0</v>
      </c>
      <c r="AE212">
        <f t="shared" si="127"/>
        <v>0</v>
      </c>
      <c r="AF212">
        <f t="shared" si="128"/>
        <v>0</v>
      </c>
      <c r="AG212">
        <f t="shared" si="129"/>
        <v>0</v>
      </c>
      <c r="AH212">
        <f t="shared" si="130"/>
        <v>0</v>
      </c>
      <c r="AI212">
        <f t="shared" si="131"/>
        <v>0</v>
      </c>
      <c r="AJ212">
        <f t="shared" si="132"/>
        <v>0</v>
      </c>
      <c r="AK212">
        <f t="shared" si="133"/>
        <v>0</v>
      </c>
      <c r="AL212">
        <f t="shared" si="144"/>
        <v>0</v>
      </c>
      <c r="AM212">
        <f t="shared" si="145"/>
        <v>0</v>
      </c>
      <c r="AN212">
        <f t="shared" si="134"/>
        <v>0</v>
      </c>
      <c r="AO212">
        <f t="shared" si="135"/>
        <v>0</v>
      </c>
      <c r="AP212">
        <f t="shared" si="136"/>
        <v>0</v>
      </c>
      <c r="AQ212">
        <f t="shared" si="146"/>
        <v>0</v>
      </c>
      <c r="AR212">
        <f t="shared" si="147"/>
        <v>0</v>
      </c>
      <c r="AS212">
        <f t="shared" si="137"/>
        <v>0</v>
      </c>
      <c r="AT212">
        <f t="shared" si="138"/>
        <v>0</v>
      </c>
      <c r="AU212">
        <f t="shared" si="139"/>
        <v>0</v>
      </c>
      <c r="AV212">
        <f t="shared" si="140"/>
        <v>0</v>
      </c>
      <c r="AW212">
        <f t="shared" si="141"/>
        <v>0</v>
      </c>
      <c r="AX212">
        <f t="shared" si="142"/>
        <v>0</v>
      </c>
      <c r="AY212">
        <f t="shared" si="143"/>
        <v>0</v>
      </c>
      <c r="AZ212" t="s">
        <v>64</v>
      </c>
    </row>
    <row r="213" spans="1:52">
      <c r="A213">
        <v>212</v>
      </c>
      <c r="B213" s="14">
        <v>46180</v>
      </c>
      <c r="C213" t="s">
        <v>24</v>
      </c>
      <c r="D213" t="s">
        <v>7</v>
      </c>
      <c r="E213" t="s">
        <v>234</v>
      </c>
      <c r="F213" t="s">
        <v>14</v>
      </c>
      <c r="G213">
        <v>0</v>
      </c>
      <c r="H213">
        <v>0</v>
      </c>
      <c r="I213" t="s">
        <v>193</v>
      </c>
      <c r="J213" t="s">
        <v>193</v>
      </c>
      <c r="K213" t="s">
        <v>233</v>
      </c>
      <c r="L213" t="s">
        <v>191</v>
      </c>
      <c r="M213" t="s">
        <v>11</v>
      </c>
      <c r="N213" t="s">
        <v>198</v>
      </c>
      <c r="O213">
        <f t="shared" si="111"/>
        <v>0</v>
      </c>
      <c r="P213">
        <f t="shared" si="112"/>
        <v>0</v>
      </c>
      <c r="Q213">
        <f t="shared" si="113"/>
        <v>0</v>
      </c>
      <c r="R213">
        <f t="shared" si="114"/>
        <v>0</v>
      </c>
      <c r="S213">
        <f t="shared" si="115"/>
        <v>1</v>
      </c>
      <c r="T213">
        <f t="shared" si="116"/>
        <v>0</v>
      </c>
      <c r="U213">
        <f t="shared" si="117"/>
        <v>0</v>
      </c>
      <c r="V213">
        <f t="shared" si="118"/>
        <v>0</v>
      </c>
      <c r="W213">
        <f t="shared" si="119"/>
        <v>0</v>
      </c>
      <c r="X213">
        <f t="shared" si="120"/>
        <v>0</v>
      </c>
      <c r="Y213">
        <f t="shared" si="121"/>
        <v>0</v>
      </c>
      <c r="Z213">
        <f t="shared" si="122"/>
        <v>0</v>
      </c>
      <c r="AA213">
        <f t="shared" si="123"/>
        <v>0</v>
      </c>
      <c r="AB213">
        <f t="shared" si="124"/>
        <v>0</v>
      </c>
      <c r="AC213">
        <f t="shared" si="125"/>
        <v>0</v>
      </c>
      <c r="AD213">
        <f t="shared" si="126"/>
        <v>0</v>
      </c>
      <c r="AE213">
        <f t="shared" si="127"/>
        <v>0</v>
      </c>
      <c r="AF213">
        <f t="shared" si="128"/>
        <v>0</v>
      </c>
      <c r="AG213">
        <f t="shared" si="129"/>
        <v>0</v>
      </c>
      <c r="AH213">
        <f t="shared" si="130"/>
        <v>0</v>
      </c>
      <c r="AI213">
        <f t="shared" si="131"/>
        <v>0</v>
      </c>
      <c r="AJ213">
        <f t="shared" si="132"/>
        <v>0</v>
      </c>
      <c r="AK213">
        <f t="shared" si="133"/>
        <v>1</v>
      </c>
      <c r="AL213">
        <f t="shared" si="144"/>
        <v>0</v>
      </c>
      <c r="AM213">
        <f t="shared" si="145"/>
        <v>0</v>
      </c>
      <c r="AN213">
        <f t="shared" si="134"/>
        <v>0</v>
      </c>
      <c r="AO213">
        <f t="shared" si="135"/>
        <v>0</v>
      </c>
      <c r="AP213">
        <f t="shared" si="136"/>
        <v>0</v>
      </c>
      <c r="AQ213">
        <f t="shared" si="146"/>
        <v>0</v>
      </c>
      <c r="AR213">
        <f t="shared" si="147"/>
        <v>0</v>
      </c>
      <c r="AS213">
        <f t="shared" si="137"/>
        <v>0</v>
      </c>
      <c r="AT213">
        <f t="shared" si="138"/>
        <v>0</v>
      </c>
      <c r="AU213">
        <f t="shared" si="139"/>
        <v>0</v>
      </c>
      <c r="AV213">
        <f t="shared" si="140"/>
        <v>0</v>
      </c>
      <c r="AW213">
        <f t="shared" si="141"/>
        <v>0</v>
      </c>
      <c r="AX213">
        <f t="shared" si="142"/>
        <v>0</v>
      </c>
      <c r="AY213">
        <f t="shared" si="143"/>
        <v>0</v>
      </c>
      <c r="AZ213" t="s">
        <v>64</v>
      </c>
    </row>
    <row r="214" spans="1:52">
      <c r="A214">
        <v>213</v>
      </c>
      <c r="B214" s="14">
        <v>46180</v>
      </c>
      <c r="C214" t="s">
        <v>24</v>
      </c>
      <c r="D214" t="s">
        <v>2</v>
      </c>
      <c r="E214" t="s">
        <v>232</v>
      </c>
      <c r="F214" t="s">
        <v>3</v>
      </c>
      <c r="G214">
        <v>0</v>
      </c>
      <c r="H214">
        <v>0</v>
      </c>
      <c r="I214" t="s">
        <v>193</v>
      </c>
      <c r="J214" t="s">
        <v>193</v>
      </c>
      <c r="K214" t="s">
        <v>231</v>
      </c>
      <c r="L214" t="s">
        <v>191</v>
      </c>
      <c r="M214" t="s">
        <v>11</v>
      </c>
      <c r="N214" t="s">
        <v>206</v>
      </c>
      <c r="O214">
        <f t="shared" si="111"/>
        <v>1</v>
      </c>
      <c r="P214">
        <f t="shared" si="112"/>
        <v>1</v>
      </c>
      <c r="Q214">
        <f t="shared" si="113"/>
        <v>1</v>
      </c>
      <c r="R214">
        <f t="shared" si="114"/>
        <v>1</v>
      </c>
      <c r="S214">
        <f t="shared" si="115"/>
        <v>1</v>
      </c>
      <c r="T214">
        <f t="shared" si="116"/>
        <v>0</v>
      </c>
      <c r="U214">
        <f t="shared" si="117"/>
        <v>0</v>
      </c>
      <c r="V214">
        <f t="shared" si="118"/>
        <v>0</v>
      </c>
      <c r="W214">
        <f t="shared" si="119"/>
        <v>0</v>
      </c>
      <c r="X214">
        <f t="shared" si="120"/>
        <v>0</v>
      </c>
      <c r="Y214">
        <f t="shared" si="121"/>
        <v>0</v>
      </c>
      <c r="Z214">
        <f t="shared" si="122"/>
        <v>0</v>
      </c>
      <c r="AA214">
        <f t="shared" si="123"/>
        <v>0</v>
      </c>
      <c r="AB214">
        <f t="shared" si="124"/>
        <v>0</v>
      </c>
      <c r="AC214">
        <f t="shared" si="125"/>
        <v>0</v>
      </c>
      <c r="AD214">
        <f t="shared" si="126"/>
        <v>0</v>
      </c>
      <c r="AE214">
        <f t="shared" si="127"/>
        <v>0</v>
      </c>
      <c r="AF214">
        <f t="shared" si="128"/>
        <v>0</v>
      </c>
      <c r="AG214">
        <f t="shared" si="129"/>
        <v>0</v>
      </c>
      <c r="AH214">
        <f t="shared" si="130"/>
        <v>0</v>
      </c>
      <c r="AI214">
        <f t="shared" si="131"/>
        <v>0</v>
      </c>
      <c r="AJ214">
        <f t="shared" si="132"/>
        <v>0</v>
      </c>
      <c r="AK214">
        <f t="shared" si="133"/>
        <v>0</v>
      </c>
      <c r="AL214">
        <f t="shared" si="144"/>
        <v>0</v>
      </c>
      <c r="AM214">
        <f t="shared" si="145"/>
        <v>0</v>
      </c>
      <c r="AN214">
        <f t="shared" si="134"/>
        <v>0</v>
      </c>
      <c r="AO214">
        <f t="shared" si="135"/>
        <v>0</v>
      </c>
      <c r="AP214">
        <f t="shared" si="136"/>
        <v>0</v>
      </c>
      <c r="AQ214">
        <f t="shared" si="146"/>
        <v>0</v>
      </c>
      <c r="AR214">
        <f t="shared" si="147"/>
        <v>0</v>
      </c>
      <c r="AS214">
        <f t="shared" si="137"/>
        <v>0</v>
      </c>
      <c r="AT214">
        <f t="shared" si="138"/>
        <v>0</v>
      </c>
      <c r="AU214">
        <f t="shared" si="139"/>
        <v>0</v>
      </c>
      <c r="AV214">
        <f t="shared" si="140"/>
        <v>0</v>
      </c>
      <c r="AW214">
        <f t="shared" si="141"/>
        <v>0</v>
      </c>
      <c r="AX214">
        <f t="shared" si="142"/>
        <v>0</v>
      </c>
      <c r="AY214">
        <f t="shared" si="143"/>
        <v>0</v>
      </c>
      <c r="AZ214" t="s">
        <v>64</v>
      </c>
    </row>
    <row r="215" spans="1:52">
      <c r="A215">
        <v>214</v>
      </c>
      <c r="B215" s="14">
        <v>46180</v>
      </c>
      <c r="C215" t="s">
        <v>24</v>
      </c>
      <c r="D215" t="s">
        <v>7</v>
      </c>
      <c r="E215" t="s">
        <v>230</v>
      </c>
      <c r="F215" t="s">
        <v>13</v>
      </c>
      <c r="G215">
        <v>0</v>
      </c>
      <c r="H215">
        <v>0</v>
      </c>
      <c r="I215" t="s">
        <v>193</v>
      </c>
      <c r="J215" t="s">
        <v>193</v>
      </c>
      <c r="K215" t="s">
        <v>229</v>
      </c>
      <c r="L215" t="s">
        <v>191</v>
      </c>
      <c r="M215" t="s">
        <v>11</v>
      </c>
      <c r="N215" t="s">
        <v>190</v>
      </c>
      <c r="O215">
        <f t="shared" si="111"/>
        <v>0</v>
      </c>
      <c r="P215">
        <f t="shared" si="112"/>
        <v>0</v>
      </c>
      <c r="Q215">
        <f t="shared" si="113"/>
        <v>0</v>
      </c>
      <c r="R215">
        <f t="shared" si="114"/>
        <v>0</v>
      </c>
      <c r="S215">
        <f t="shared" si="115"/>
        <v>1</v>
      </c>
      <c r="T215">
        <f t="shared" si="116"/>
        <v>0</v>
      </c>
      <c r="U215">
        <f t="shared" si="117"/>
        <v>0</v>
      </c>
      <c r="V215">
        <f t="shared" si="118"/>
        <v>0</v>
      </c>
      <c r="W215">
        <f t="shared" si="119"/>
        <v>0</v>
      </c>
      <c r="X215">
        <f t="shared" si="120"/>
        <v>0</v>
      </c>
      <c r="Y215">
        <f t="shared" si="121"/>
        <v>0</v>
      </c>
      <c r="Z215">
        <f t="shared" si="122"/>
        <v>0</v>
      </c>
      <c r="AA215">
        <f t="shared" si="123"/>
        <v>0</v>
      </c>
      <c r="AB215">
        <f t="shared" si="124"/>
        <v>0</v>
      </c>
      <c r="AC215">
        <f t="shared" si="125"/>
        <v>0</v>
      </c>
      <c r="AD215">
        <f t="shared" si="126"/>
        <v>0</v>
      </c>
      <c r="AE215">
        <f t="shared" si="127"/>
        <v>0</v>
      </c>
      <c r="AF215">
        <f t="shared" si="128"/>
        <v>0</v>
      </c>
      <c r="AG215">
        <f t="shared" si="129"/>
        <v>0</v>
      </c>
      <c r="AH215">
        <f t="shared" si="130"/>
        <v>0</v>
      </c>
      <c r="AI215">
        <f t="shared" si="131"/>
        <v>0</v>
      </c>
      <c r="AJ215">
        <f t="shared" si="132"/>
        <v>0</v>
      </c>
      <c r="AK215">
        <f t="shared" si="133"/>
        <v>1</v>
      </c>
      <c r="AL215">
        <f t="shared" si="144"/>
        <v>0</v>
      </c>
      <c r="AM215">
        <f t="shared" si="145"/>
        <v>0</v>
      </c>
      <c r="AN215">
        <f t="shared" si="134"/>
        <v>0</v>
      </c>
      <c r="AO215">
        <f t="shared" si="135"/>
        <v>0</v>
      </c>
      <c r="AP215">
        <f t="shared" si="136"/>
        <v>0</v>
      </c>
      <c r="AQ215">
        <f t="shared" si="146"/>
        <v>0</v>
      </c>
      <c r="AR215">
        <f t="shared" si="147"/>
        <v>0</v>
      </c>
      <c r="AS215">
        <f t="shared" si="137"/>
        <v>0</v>
      </c>
      <c r="AT215">
        <f t="shared" si="138"/>
        <v>0</v>
      </c>
      <c r="AU215">
        <f t="shared" si="139"/>
        <v>0</v>
      </c>
      <c r="AV215">
        <f t="shared" si="140"/>
        <v>0</v>
      </c>
      <c r="AW215">
        <f t="shared" si="141"/>
        <v>0</v>
      </c>
      <c r="AX215">
        <f t="shared" si="142"/>
        <v>0</v>
      </c>
      <c r="AY215">
        <f t="shared" si="143"/>
        <v>0</v>
      </c>
      <c r="AZ215" t="s">
        <v>64</v>
      </c>
    </row>
    <row r="216" spans="1:52">
      <c r="A216">
        <v>215</v>
      </c>
      <c r="B216" s="14">
        <v>46180</v>
      </c>
      <c r="C216" t="s">
        <v>24</v>
      </c>
      <c r="D216" t="s">
        <v>2</v>
      </c>
      <c r="E216" t="s">
        <v>228</v>
      </c>
      <c r="F216" t="s">
        <v>20</v>
      </c>
      <c r="G216">
        <v>0</v>
      </c>
      <c r="H216">
        <v>0</v>
      </c>
      <c r="I216" t="s">
        <v>193</v>
      </c>
      <c r="J216" t="s">
        <v>193</v>
      </c>
      <c r="K216" t="s">
        <v>227</v>
      </c>
      <c r="L216" t="s">
        <v>191</v>
      </c>
      <c r="M216" t="s">
        <v>20</v>
      </c>
      <c r="N216" t="s">
        <v>190</v>
      </c>
      <c r="O216">
        <f t="shared" si="111"/>
        <v>1</v>
      </c>
      <c r="P216">
        <f t="shared" si="112"/>
        <v>1</v>
      </c>
      <c r="Q216">
        <f t="shared" si="113"/>
        <v>0</v>
      </c>
      <c r="R216">
        <f t="shared" si="114"/>
        <v>0</v>
      </c>
      <c r="S216">
        <f t="shared" si="115"/>
        <v>0</v>
      </c>
      <c r="T216">
        <f t="shared" si="116"/>
        <v>0</v>
      </c>
      <c r="U216">
        <f t="shared" si="117"/>
        <v>0</v>
      </c>
      <c r="V216">
        <f t="shared" si="118"/>
        <v>0</v>
      </c>
      <c r="W216">
        <f t="shared" si="119"/>
        <v>0</v>
      </c>
      <c r="X216">
        <f t="shared" si="120"/>
        <v>0</v>
      </c>
      <c r="Y216">
        <f t="shared" si="121"/>
        <v>1</v>
      </c>
      <c r="Z216">
        <f t="shared" si="122"/>
        <v>0</v>
      </c>
      <c r="AA216">
        <f t="shared" si="123"/>
        <v>0</v>
      </c>
      <c r="AB216">
        <f t="shared" si="124"/>
        <v>0</v>
      </c>
      <c r="AC216">
        <f t="shared" si="125"/>
        <v>0</v>
      </c>
      <c r="AD216">
        <f t="shared" si="126"/>
        <v>0</v>
      </c>
      <c r="AE216">
        <f t="shared" si="127"/>
        <v>0</v>
      </c>
      <c r="AF216">
        <f t="shared" si="128"/>
        <v>0</v>
      </c>
      <c r="AG216">
        <f t="shared" si="129"/>
        <v>0</v>
      </c>
      <c r="AH216">
        <f t="shared" si="130"/>
        <v>0</v>
      </c>
      <c r="AI216">
        <f t="shared" si="131"/>
        <v>0</v>
      </c>
      <c r="AJ216">
        <f t="shared" si="132"/>
        <v>0</v>
      </c>
      <c r="AK216">
        <f t="shared" si="133"/>
        <v>1</v>
      </c>
      <c r="AL216">
        <f t="shared" si="144"/>
        <v>0</v>
      </c>
      <c r="AM216">
        <f t="shared" si="145"/>
        <v>0</v>
      </c>
      <c r="AN216">
        <f t="shared" si="134"/>
        <v>0</v>
      </c>
      <c r="AO216">
        <f t="shared" si="135"/>
        <v>0</v>
      </c>
      <c r="AP216">
        <f t="shared" si="136"/>
        <v>0</v>
      </c>
      <c r="AQ216">
        <f t="shared" si="146"/>
        <v>0</v>
      </c>
      <c r="AR216">
        <f t="shared" si="147"/>
        <v>0</v>
      </c>
      <c r="AS216">
        <f t="shared" si="137"/>
        <v>0</v>
      </c>
      <c r="AT216">
        <f t="shared" si="138"/>
        <v>0</v>
      </c>
      <c r="AU216">
        <f t="shared" si="139"/>
        <v>0</v>
      </c>
      <c r="AV216">
        <f t="shared" si="140"/>
        <v>0</v>
      </c>
      <c r="AW216">
        <f t="shared" si="141"/>
        <v>0</v>
      </c>
      <c r="AX216">
        <f t="shared" si="142"/>
        <v>0</v>
      </c>
      <c r="AY216">
        <f t="shared" si="143"/>
        <v>0</v>
      </c>
      <c r="AZ216" t="s">
        <v>64</v>
      </c>
    </row>
    <row r="217" spans="1:52">
      <c r="A217">
        <v>216</v>
      </c>
      <c r="B217" s="14">
        <v>46180</v>
      </c>
      <c r="C217" t="s">
        <v>24</v>
      </c>
      <c r="D217" t="s">
        <v>2</v>
      </c>
      <c r="E217" t="s">
        <v>226</v>
      </c>
      <c r="F217" t="s">
        <v>3</v>
      </c>
      <c r="G217">
        <v>0</v>
      </c>
      <c r="H217">
        <v>0</v>
      </c>
      <c r="I217" t="s">
        <v>193</v>
      </c>
      <c r="J217" t="s">
        <v>193</v>
      </c>
      <c r="K217" t="s">
        <v>225</v>
      </c>
      <c r="L217" t="s">
        <v>191</v>
      </c>
      <c r="M217" t="s">
        <v>11</v>
      </c>
      <c r="N217" t="s">
        <v>190</v>
      </c>
      <c r="O217">
        <f t="shared" si="111"/>
        <v>0</v>
      </c>
      <c r="P217">
        <f t="shared" si="112"/>
        <v>1</v>
      </c>
      <c r="Q217">
        <f t="shared" si="113"/>
        <v>0</v>
      </c>
      <c r="R217">
        <f t="shared" si="114"/>
        <v>0</v>
      </c>
      <c r="S217">
        <f t="shared" si="115"/>
        <v>0</v>
      </c>
      <c r="T217">
        <f t="shared" si="116"/>
        <v>1</v>
      </c>
      <c r="U217">
        <f t="shared" si="117"/>
        <v>0</v>
      </c>
      <c r="V217">
        <f t="shared" si="118"/>
        <v>0</v>
      </c>
      <c r="W217">
        <f t="shared" si="119"/>
        <v>0</v>
      </c>
      <c r="X217">
        <f t="shared" si="120"/>
        <v>0</v>
      </c>
      <c r="Y217">
        <f t="shared" si="121"/>
        <v>0</v>
      </c>
      <c r="Z217">
        <f t="shared" si="122"/>
        <v>0</v>
      </c>
      <c r="AA217">
        <f t="shared" si="123"/>
        <v>0</v>
      </c>
      <c r="AB217">
        <f t="shared" si="124"/>
        <v>0</v>
      </c>
      <c r="AC217">
        <f t="shared" si="125"/>
        <v>0</v>
      </c>
      <c r="AD217">
        <f t="shared" si="126"/>
        <v>0</v>
      </c>
      <c r="AE217">
        <f t="shared" si="127"/>
        <v>0</v>
      </c>
      <c r="AF217">
        <f t="shared" si="128"/>
        <v>0</v>
      </c>
      <c r="AG217">
        <f t="shared" si="129"/>
        <v>0</v>
      </c>
      <c r="AH217">
        <f t="shared" si="130"/>
        <v>0</v>
      </c>
      <c r="AI217">
        <f t="shared" si="131"/>
        <v>0</v>
      </c>
      <c r="AJ217">
        <f t="shared" si="132"/>
        <v>0</v>
      </c>
      <c r="AK217">
        <f t="shared" si="133"/>
        <v>0</v>
      </c>
      <c r="AL217">
        <f t="shared" si="144"/>
        <v>0</v>
      </c>
      <c r="AM217">
        <f t="shared" si="145"/>
        <v>0</v>
      </c>
      <c r="AN217">
        <f t="shared" si="134"/>
        <v>0</v>
      </c>
      <c r="AO217">
        <f t="shared" si="135"/>
        <v>0</v>
      </c>
      <c r="AP217">
        <f t="shared" si="136"/>
        <v>0</v>
      </c>
      <c r="AQ217">
        <f t="shared" si="146"/>
        <v>0</v>
      </c>
      <c r="AR217">
        <f t="shared" si="147"/>
        <v>0</v>
      </c>
      <c r="AS217">
        <f t="shared" si="137"/>
        <v>0</v>
      </c>
      <c r="AT217">
        <f t="shared" si="138"/>
        <v>0</v>
      </c>
      <c r="AU217">
        <f t="shared" si="139"/>
        <v>0</v>
      </c>
      <c r="AV217">
        <f t="shared" si="140"/>
        <v>0</v>
      </c>
      <c r="AW217">
        <f t="shared" si="141"/>
        <v>0</v>
      </c>
      <c r="AX217">
        <f t="shared" si="142"/>
        <v>0</v>
      </c>
      <c r="AY217">
        <f t="shared" si="143"/>
        <v>0</v>
      </c>
      <c r="AZ217" t="s">
        <v>64</v>
      </c>
    </row>
    <row r="218" spans="1:52">
      <c r="A218">
        <v>217</v>
      </c>
      <c r="B218" s="14">
        <v>46180</v>
      </c>
      <c r="C218" t="s">
        <v>24</v>
      </c>
      <c r="D218" t="s">
        <v>8</v>
      </c>
      <c r="E218" t="s">
        <v>224</v>
      </c>
      <c r="F218" t="s">
        <v>3</v>
      </c>
      <c r="G218">
        <v>0</v>
      </c>
      <c r="H218">
        <v>0</v>
      </c>
      <c r="I218" t="s">
        <v>193</v>
      </c>
      <c r="J218" t="s">
        <v>193</v>
      </c>
      <c r="K218" t="s">
        <v>223</v>
      </c>
      <c r="L218" t="s">
        <v>191</v>
      </c>
      <c r="M218" t="s">
        <v>11</v>
      </c>
      <c r="N218" t="s">
        <v>190</v>
      </c>
      <c r="O218">
        <f t="shared" si="111"/>
        <v>1</v>
      </c>
      <c r="P218">
        <f t="shared" si="112"/>
        <v>0</v>
      </c>
      <c r="Q218">
        <f t="shared" si="113"/>
        <v>0</v>
      </c>
      <c r="R218">
        <f t="shared" si="114"/>
        <v>0</v>
      </c>
      <c r="S218">
        <f t="shared" si="115"/>
        <v>0</v>
      </c>
      <c r="T218">
        <f t="shared" si="116"/>
        <v>0</v>
      </c>
      <c r="U218">
        <f t="shared" si="117"/>
        <v>1</v>
      </c>
      <c r="V218">
        <f t="shared" si="118"/>
        <v>0</v>
      </c>
      <c r="W218">
        <f t="shared" si="119"/>
        <v>0</v>
      </c>
      <c r="X218">
        <f t="shared" si="120"/>
        <v>0</v>
      </c>
      <c r="Y218">
        <f t="shared" si="121"/>
        <v>0</v>
      </c>
      <c r="Z218">
        <f t="shared" si="122"/>
        <v>0</v>
      </c>
      <c r="AA218">
        <f t="shared" si="123"/>
        <v>0</v>
      </c>
      <c r="AB218">
        <f t="shared" si="124"/>
        <v>0</v>
      </c>
      <c r="AC218">
        <f t="shared" si="125"/>
        <v>0</v>
      </c>
      <c r="AD218">
        <f t="shared" si="126"/>
        <v>0</v>
      </c>
      <c r="AE218">
        <f t="shared" si="127"/>
        <v>0</v>
      </c>
      <c r="AF218">
        <f t="shared" si="128"/>
        <v>0</v>
      </c>
      <c r="AG218">
        <f t="shared" si="129"/>
        <v>0</v>
      </c>
      <c r="AH218">
        <f t="shared" si="130"/>
        <v>0</v>
      </c>
      <c r="AI218">
        <f t="shared" si="131"/>
        <v>0</v>
      </c>
      <c r="AJ218">
        <f t="shared" si="132"/>
        <v>1</v>
      </c>
      <c r="AK218">
        <f t="shared" si="133"/>
        <v>0</v>
      </c>
      <c r="AL218">
        <f t="shared" si="144"/>
        <v>0</v>
      </c>
      <c r="AM218">
        <f t="shared" si="145"/>
        <v>0</v>
      </c>
      <c r="AN218">
        <f t="shared" si="134"/>
        <v>0</v>
      </c>
      <c r="AO218">
        <f t="shared" si="135"/>
        <v>0</v>
      </c>
      <c r="AP218">
        <f t="shared" si="136"/>
        <v>0</v>
      </c>
      <c r="AQ218">
        <f t="shared" si="146"/>
        <v>0</v>
      </c>
      <c r="AR218">
        <f t="shared" si="147"/>
        <v>0</v>
      </c>
      <c r="AS218">
        <f t="shared" si="137"/>
        <v>0</v>
      </c>
      <c r="AT218">
        <f t="shared" si="138"/>
        <v>0</v>
      </c>
      <c r="AU218">
        <f t="shared" si="139"/>
        <v>0</v>
      </c>
      <c r="AV218">
        <f t="shared" si="140"/>
        <v>0</v>
      </c>
      <c r="AW218">
        <f t="shared" si="141"/>
        <v>0</v>
      </c>
      <c r="AX218">
        <f t="shared" si="142"/>
        <v>0</v>
      </c>
      <c r="AY218">
        <f t="shared" si="143"/>
        <v>0</v>
      </c>
      <c r="AZ218" t="s">
        <v>64</v>
      </c>
    </row>
    <row r="219" spans="1:52">
      <c r="A219">
        <v>218</v>
      </c>
      <c r="B219" s="14">
        <v>46180</v>
      </c>
      <c r="C219" t="s">
        <v>24</v>
      </c>
      <c r="D219" t="s">
        <v>8</v>
      </c>
      <c r="E219" t="s">
        <v>222</v>
      </c>
      <c r="F219" t="s">
        <v>6</v>
      </c>
      <c r="G219">
        <v>0</v>
      </c>
      <c r="H219">
        <v>0</v>
      </c>
      <c r="I219" t="s">
        <v>193</v>
      </c>
      <c r="J219" t="s">
        <v>193</v>
      </c>
      <c r="K219" t="s">
        <v>221</v>
      </c>
      <c r="L219" t="s">
        <v>191</v>
      </c>
      <c r="M219" t="s">
        <v>11</v>
      </c>
      <c r="N219" t="s">
        <v>198</v>
      </c>
      <c r="O219">
        <f t="shared" si="111"/>
        <v>1</v>
      </c>
      <c r="P219">
        <f t="shared" si="112"/>
        <v>0</v>
      </c>
      <c r="Q219">
        <f t="shared" si="113"/>
        <v>0</v>
      </c>
      <c r="R219">
        <f t="shared" si="114"/>
        <v>0</v>
      </c>
      <c r="S219">
        <f t="shared" si="115"/>
        <v>0</v>
      </c>
      <c r="T219">
        <f t="shared" si="116"/>
        <v>0</v>
      </c>
      <c r="U219">
        <f t="shared" si="117"/>
        <v>0</v>
      </c>
      <c r="V219">
        <f t="shared" si="118"/>
        <v>0</v>
      </c>
      <c r="W219">
        <f t="shared" si="119"/>
        <v>0</v>
      </c>
      <c r="X219">
        <f t="shared" si="120"/>
        <v>0</v>
      </c>
      <c r="Y219">
        <f t="shared" si="121"/>
        <v>0</v>
      </c>
      <c r="Z219">
        <f t="shared" si="122"/>
        <v>0</v>
      </c>
      <c r="AA219">
        <f t="shared" si="123"/>
        <v>1</v>
      </c>
      <c r="AB219">
        <f t="shared" si="124"/>
        <v>1</v>
      </c>
      <c r="AC219">
        <f t="shared" si="125"/>
        <v>1</v>
      </c>
      <c r="AD219">
        <f t="shared" si="126"/>
        <v>0</v>
      </c>
      <c r="AE219">
        <f t="shared" si="127"/>
        <v>0</v>
      </c>
      <c r="AF219">
        <f t="shared" si="128"/>
        <v>0</v>
      </c>
      <c r="AG219">
        <f t="shared" si="129"/>
        <v>0</v>
      </c>
      <c r="AH219">
        <f t="shared" si="130"/>
        <v>0</v>
      </c>
      <c r="AI219">
        <f t="shared" si="131"/>
        <v>0</v>
      </c>
      <c r="AJ219">
        <f t="shared" si="132"/>
        <v>0</v>
      </c>
      <c r="AK219">
        <f t="shared" si="133"/>
        <v>0</v>
      </c>
      <c r="AL219">
        <f t="shared" si="144"/>
        <v>0</v>
      </c>
      <c r="AM219">
        <f t="shared" si="145"/>
        <v>0</v>
      </c>
      <c r="AN219">
        <f t="shared" si="134"/>
        <v>0</v>
      </c>
      <c r="AO219">
        <f t="shared" si="135"/>
        <v>0</v>
      </c>
      <c r="AP219">
        <f t="shared" si="136"/>
        <v>0</v>
      </c>
      <c r="AQ219">
        <f t="shared" si="146"/>
        <v>0</v>
      </c>
      <c r="AR219">
        <f t="shared" si="147"/>
        <v>0</v>
      </c>
      <c r="AS219">
        <f t="shared" si="137"/>
        <v>0</v>
      </c>
      <c r="AT219">
        <f t="shared" si="138"/>
        <v>0</v>
      </c>
      <c r="AU219">
        <f t="shared" si="139"/>
        <v>0</v>
      </c>
      <c r="AV219">
        <f t="shared" si="140"/>
        <v>0</v>
      </c>
      <c r="AW219">
        <f t="shared" si="141"/>
        <v>0</v>
      </c>
      <c r="AX219">
        <f t="shared" si="142"/>
        <v>0</v>
      </c>
      <c r="AY219">
        <f t="shared" si="143"/>
        <v>0</v>
      </c>
      <c r="AZ219" t="s">
        <v>64</v>
      </c>
    </row>
    <row r="220" spans="1:52">
      <c r="A220">
        <v>219</v>
      </c>
      <c r="B220" s="14">
        <v>46180</v>
      </c>
      <c r="C220" t="s">
        <v>1</v>
      </c>
      <c r="D220" t="s">
        <v>4</v>
      </c>
      <c r="E220" t="s">
        <v>220</v>
      </c>
      <c r="F220" t="s">
        <v>20</v>
      </c>
      <c r="G220">
        <v>0</v>
      </c>
      <c r="H220">
        <v>0</v>
      </c>
      <c r="I220" t="s">
        <v>193</v>
      </c>
      <c r="J220" t="s">
        <v>193</v>
      </c>
      <c r="K220" t="s">
        <v>219</v>
      </c>
      <c r="L220" t="s">
        <v>191</v>
      </c>
      <c r="M220" t="s">
        <v>20</v>
      </c>
      <c r="N220" t="s">
        <v>190</v>
      </c>
      <c r="O220">
        <f t="shared" si="111"/>
        <v>1</v>
      </c>
      <c r="P220">
        <f t="shared" si="112"/>
        <v>0</v>
      </c>
      <c r="Q220">
        <f t="shared" si="113"/>
        <v>0</v>
      </c>
      <c r="R220">
        <f t="shared" si="114"/>
        <v>0</v>
      </c>
      <c r="S220">
        <f t="shared" si="115"/>
        <v>1</v>
      </c>
      <c r="T220">
        <f t="shared" si="116"/>
        <v>0</v>
      </c>
      <c r="U220">
        <f t="shared" si="117"/>
        <v>0</v>
      </c>
      <c r="V220">
        <f t="shared" si="118"/>
        <v>0</v>
      </c>
      <c r="W220">
        <f t="shared" si="119"/>
        <v>0</v>
      </c>
      <c r="X220">
        <f t="shared" si="120"/>
        <v>0</v>
      </c>
      <c r="Y220">
        <f t="shared" si="121"/>
        <v>0</v>
      </c>
      <c r="Z220">
        <f t="shared" si="122"/>
        <v>0</v>
      </c>
      <c r="AA220">
        <f t="shared" si="123"/>
        <v>0</v>
      </c>
      <c r="AB220">
        <f t="shared" si="124"/>
        <v>0</v>
      </c>
      <c r="AC220">
        <f t="shared" si="125"/>
        <v>0</v>
      </c>
      <c r="AD220">
        <f t="shared" si="126"/>
        <v>0</v>
      </c>
      <c r="AE220">
        <f t="shared" si="127"/>
        <v>0</v>
      </c>
      <c r="AF220">
        <f t="shared" si="128"/>
        <v>0</v>
      </c>
      <c r="AG220">
        <f t="shared" si="129"/>
        <v>0</v>
      </c>
      <c r="AH220">
        <f t="shared" si="130"/>
        <v>0</v>
      </c>
      <c r="AI220">
        <f t="shared" si="131"/>
        <v>0</v>
      </c>
      <c r="AJ220">
        <f t="shared" si="132"/>
        <v>0</v>
      </c>
      <c r="AK220">
        <f t="shared" si="133"/>
        <v>1</v>
      </c>
      <c r="AL220">
        <f t="shared" si="144"/>
        <v>0</v>
      </c>
      <c r="AM220">
        <f t="shared" si="145"/>
        <v>0</v>
      </c>
      <c r="AN220">
        <f t="shared" si="134"/>
        <v>0</v>
      </c>
      <c r="AO220">
        <f t="shared" si="135"/>
        <v>0</v>
      </c>
      <c r="AP220">
        <f t="shared" si="136"/>
        <v>0</v>
      </c>
      <c r="AQ220">
        <f t="shared" si="146"/>
        <v>0</v>
      </c>
      <c r="AR220">
        <f t="shared" si="147"/>
        <v>0</v>
      </c>
      <c r="AS220">
        <f t="shared" si="137"/>
        <v>0</v>
      </c>
      <c r="AT220">
        <f t="shared" si="138"/>
        <v>0</v>
      </c>
      <c r="AU220">
        <f t="shared" si="139"/>
        <v>0</v>
      </c>
      <c r="AV220">
        <f t="shared" si="140"/>
        <v>0</v>
      </c>
      <c r="AW220">
        <f t="shared" si="141"/>
        <v>0</v>
      </c>
      <c r="AX220">
        <f t="shared" si="142"/>
        <v>0</v>
      </c>
      <c r="AY220">
        <f t="shared" si="143"/>
        <v>0</v>
      </c>
      <c r="AZ220" t="s">
        <v>64</v>
      </c>
    </row>
    <row r="221" spans="1:52">
      <c r="A221">
        <v>220</v>
      </c>
      <c r="B221" s="14">
        <v>46180</v>
      </c>
      <c r="C221" t="s">
        <v>1</v>
      </c>
      <c r="D221" t="s">
        <v>2</v>
      </c>
      <c r="E221" t="s">
        <v>218</v>
      </c>
      <c r="F221" t="s">
        <v>14</v>
      </c>
      <c r="G221">
        <v>0</v>
      </c>
      <c r="H221">
        <v>0</v>
      </c>
      <c r="I221">
        <v>20000</v>
      </c>
      <c r="J221">
        <v>35000</v>
      </c>
      <c r="K221" t="s">
        <v>217</v>
      </c>
      <c r="L221" t="s">
        <v>191</v>
      </c>
      <c r="M221" t="s">
        <v>20</v>
      </c>
      <c r="N221" t="s">
        <v>198</v>
      </c>
      <c r="O221">
        <f t="shared" si="111"/>
        <v>1</v>
      </c>
      <c r="P221">
        <f t="shared" si="112"/>
        <v>1</v>
      </c>
      <c r="Q221">
        <f t="shared" si="113"/>
        <v>0</v>
      </c>
      <c r="R221">
        <f t="shared" si="114"/>
        <v>0</v>
      </c>
      <c r="S221">
        <f t="shared" si="115"/>
        <v>1</v>
      </c>
      <c r="T221">
        <f t="shared" si="116"/>
        <v>0</v>
      </c>
      <c r="U221">
        <f t="shared" si="117"/>
        <v>0</v>
      </c>
      <c r="V221">
        <f t="shared" si="118"/>
        <v>0</v>
      </c>
      <c r="W221">
        <f t="shared" si="119"/>
        <v>0</v>
      </c>
      <c r="X221">
        <f t="shared" si="120"/>
        <v>0</v>
      </c>
      <c r="Y221">
        <f t="shared" si="121"/>
        <v>0</v>
      </c>
      <c r="Z221">
        <f t="shared" si="122"/>
        <v>0</v>
      </c>
      <c r="AA221">
        <f t="shared" si="123"/>
        <v>0</v>
      </c>
      <c r="AB221">
        <f t="shared" si="124"/>
        <v>0</v>
      </c>
      <c r="AC221">
        <f t="shared" si="125"/>
        <v>0</v>
      </c>
      <c r="AD221">
        <f t="shared" si="126"/>
        <v>0</v>
      </c>
      <c r="AE221">
        <f t="shared" si="127"/>
        <v>0</v>
      </c>
      <c r="AF221">
        <f t="shared" si="128"/>
        <v>0</v>
      </c>
      <c r="AG221">
        <f t="shared" si="129"/>
        <v>0</v>
      </c>
      <c r="AH221">
        <f t="shared" si="130"/>
        <v>0</v>
      </c>
      <c r="AI221">
        <f t="shared" si="131"/>
        <v>0</v>
      </c>
      <c r="AJ221">
        <f t="shared" si="132"/>
        <v>0</v>
      </c>
      <c r="AK221">
        <f t="shared" si="133"/>
        <v>0</v>
      </c>
      <c r="AL221">
        <f t="shared" si="144"/>
        <v>0</v>
      </c>
      <c r="AM221">
        <f t="shared" si="145"/>
        <v>0</v>
      </c>
      <c r="AN221">
        <f t="shared" si="134"/>
        <v>0</v>
      </c>
      <c r="AO221">
        <f t="shared" si="135"/>
        <v>0</v>
      </c>
      <c r="AP221">
        <f t="shared" si="136"/>
        <v>0</v>
      </c>
      <c r="AQ221">
        <f t="shared" si="146"/>
        <v>0</v>
      </c>
      <c r="AR221">
        <f t="shared" si="147"/>
        <v>0</v>
      </c>
      <c r="AS221">
        <f t="shared" si="137"/>
        <v>0</v>
      </c>
      <c r="AT221">
        <f t="shared" si="138"/>
        <v>0</v>
      </c>
      <c r="AU221">
        <f t="shared" si="139"/>
        <v>0</v>
      </c>
      <c r="AV221">
        <f t="shared" si="140"/>
        <v>0</v>
      </c>
      <c r="AW221">
        <f t="shared" si="141"/>
        <v>0</v>
      </c>
      <c r="AX221">
        <f t="shared" si="142"/>
        <v>0</v>
      </c>
      <c r="AY221">
        <f t="shared" si="143"/>
        <v>0</v>
      </c>
      <c r="AZ221" t="s">
        <v>64</v>
      </c>
    </row>
    <row r="222" spans="1:52">
      <c r="A222">
        <v>221</v>
      </c>
      <c r="B222" s="14">
        <v>46180</v>
      </c>
      <c r="C222" t="s">
        <v>1</v>
      </c>
      <c r="D222" t="s">
        <v>8</v>
      </c>
      <c r="E222" t="s">
        <v>216</v>
      </c>
      <c r="F222" t="s">
        <v>20</v>
      </c>
      <c r="G222">
        <v>0</v>
      </c>
      <c r="H222">
        <v>0</v>
      </c>
      <c r="I222" t="s">
        <v>193</v>
      </c>
      <c r="J222" t="s">
        <v>193</v>
      </c>
      <c r="K222" t="s">
        <v>215</v>
      </c>
      <c r="L222" t="s">
        <v>191</v>
      </c>
      <c r="M222" t="s">
        <v>20</v>
      </c>
      <c r="N222" t="s">
        <v>198</v>
      </c>
      <c r="O222">
        <f t="shared" si="111"/>
        <v>1</v>
      </c>
      <c r="P222">
        <f t="shared" si="112"/>
        <v>0</v>
      </c>
      <c r="Q222">
        <f t="shared" si="113"/>
        <v>0</v>
      </c>
      <c r="R222">
        <f t="shared" si="114"/>
        <v>0</v>
      </c>
      <c r="S222">
        <f t="shared" si="115"/>
        <v>0</v>
      </c>
      <c r="T222">
        <f t="shared" si="116"/>
        <v>0</v>
      </c>
      <c r="U222">
        <f t="shared" si="117"/>
        <v>1</v>
      </c>
      <c r="V222">
        <f t="shared" si="118"/>
        <v>0</v>
      </c>
      <c r="W222">
        <f t="shared" si="119"/>
        <v>0</v>
      </c>
      <c r="X222">
        <f t="shared" si="120"/>
        <v>0</v>
      </c>
      <c r="Y222">
        <f t="shared" si="121"/>
        <v>0</v>
      </c>
      <c r="Z222">
        <f t="shared" si="122"/>
        <v>0</v>
      </c>
      <c r="AA222">
        <f t="shared" si="123"/>
        <v>0</v>
      </c>
      <c r="AB222">
        <f t="shared" si="124"/>
        <v>0</v>
      </c>
      <c r="AC222">
        <f t="shared" si="125"/>
        <v>1</v>
      </c>
      <c r="AD222">
        <f t="shared" si="126"/>
        <v>0</v>
      </c>
      <c r="AE222">
        <f t="shared" si="127"/>
        <v>1</v>
      </c>
      <c r="AF222">
        <f t="shared" si="128"/>
        <v>0</v>
      </c>
      <c r="AG222">
        <f t="shared" si="129"/>
        <v>0</v>
      </c>
      <c r="AH222">
        <f t="shared" si="130"/>
        <v>0</v>
      </c>
      <c r="AI222">
        <f t="shared" si="131"/>
        <v>0</v>
      </c>
      <c r="AJ222">
        <f t="shared" si="132"/>
        <v>0</v>
      </c>
      <c r="AK222">
        <f t="shared" si="133"/>
        <v>0</v>
      </c>
      <c r="AL222">
        <f t="shared" si="144"/>
        <v>0</v>
      </c>
      <c r="AM222">
        <f t="shared" si="145"/>
        <v>0</v>
      </c>
      <c r="AN222">
        <f t="shared" si="134"/>
        <v>0</v>
      </c>
      <c r="AO222">
        <f t="shared" si="135"/>
        <v>0</v>
      </c>
      <c r="AP222">
        <f t="shared" si="136"/>
        <v>0</v>
      </c>
      <c r="AQ222">
        <f t="shared" si="146"/>
        <v>0</v>
      </c>
      <c r="AR222">
        <f t="shared" si="147"/>
        <v>0</v>
      </c>
      <c r="AS222">
        <f t="shared" si="137"/>
        <v>0</v>
      </c>
      <c r="AT222">
        <f t="shared" si="138"/>
        <v>0</v>
      </c>
      <c r="AU222">
        <f t="shared" si="139"/>
        <v>0</v>
      </c>
      <c r="AV222">
        <f t="shared" si="140"/>
        <v>0</v>
      </c>
      <c r="AW222">
        <f t="shared" si="141"/>
        <v>0</v>
      </c>
      <c r="AX222">
        <f t="shared" si="142"/>
        <v>0</v>
      </c>
      <c r="AY222">
        <f t="shared" si="143"/>
        <v>0</v>
      </c>
      <c r="AZ222" t="s">
        <v>64</v>
      </c>
    </row>
    <row r="223" spans="1:52">
      <c r="A223">
        <v>222</v>
      </c>
      <c r="B223" s="14">
        <v>46180</v>
      </c>
      <c r="C223" t="s">
        <v>1</v>
      </c>
      <c r="D223" t="s">
        <v>2</v>
      </c>
      <c r="E223" t="s">
        <v>214</v>
      </c>
      <c r="F223" t="s">
        <v>3</v>
      </c>
      <c r="G223">
        <v>0</v>
      </c>
      <c r="H223">
        <v>0</v>
      </c>
      <c r="I223" t="s">
        <v>193</v>
      </c>
      <c r="J223" t="s">
        <v>193</v>
      </c>
      <c r="K223" t="s">
        <v>213</v>
      </c>
      <c r="L223" t="s">
        <v>191</v>
      </c>
      <c r="M223" t="s">
        <v>20</v>
      </c>
      <c r="N223" t="s">
        <v>190</v>
      </c>
      <c r="O223">
        <f t="shared" si="111"/>
        <v>1</v>
      </c>
      <c r="P223">
        <f t="shared" si="112"/>
        <v>0</v>
      </c>
      <c r="Q223">
        <f t="shared" si="113"/>
        <v>0</v>
      </c>
      <c r="R223">
        <f t="shared" si="114"/>
        <v>1</v>
      </c>
      <c r="S223">
        <f t="shared" si="115"/>
        <v>1</v>
      </c>
      <c r="T223">
        <f t="shared" si="116"/>
        <v>0</v>
      </c>
      <c r="U223">
        <f t="shared" si="117"/>
        <v>0</v>
      </c>
      <c r="V223">
        <f t="shared" si="118"/>
        <v>0</v>
      </c>
      <c r="W223">
        <f t="shared" si="119"/>
        <v>0</v>
      </c>
      <c r="X223">
        <f t="shared" si="120"/>
        <v>0</v>
      </c>
      <c r="Y223">
        <f t="shared" si="121"/>
        <v>0</v>
      </c>
      <c r="Z223">
        <f t="shared" si="122"/>
        <v>0</v>
      </c>
      <c r="AA223">
        <f t="shared" si="123"/>
        <v>0</v>
      </c>
      <c r="AB223">
        <f t="shared" si="124"/>
        <v>0</v>
      </c>
      <c r="AC223">
        <f t="shared" si="125"/>
        <v>0</v>
      </c>
      <c r="AD223">
        <f t="shared" si="126"/>
        <v>0</v>
      </c>
      <c r="AE223">
        <f t="shared" si="127"/>
        <v>0</v>
      </c>
      <c r="AF223">
        <f t="shared" si="128"/>
        <v>0</v>
      </c>
      <c r="AG223">
        <f t="shared" si="129"/>
        <v>0</v>
      </c>
      <c r="AH223">
        <f t="shared" si="130"/>
        <v>0</v>
      </c>
      <c r="AI223">
        <f t="shared" si="131"/>
        <v>0</v>
      </c>
      <c r="AJ223">
        <f t="shared" si="132"/>
        <v>0</v>
      </c>
      <c r="AK223">
        <f t="shared" si="133"/>
        <v>0</v>
      </c>
      <c r="AL223">
        <f t="shared" si="144"/>
        <v>0</v>
      </c>
      <c r="AM223">
        <f t="shared" si="145"/>
        <v>0</v>
      </c>
      <c r="AN223">
        <f t="shared" si="134"/>
        <v>0</v>
      </c>
      <c r="AO223">
        <f t="shared" si="135"/>
        <v>0</v>
      </c>
      <c r="AP223">
        <f t="shared" si="136"/>
        <v>0</v>
      </c>
      <c r="AQ223">
        <f t="shared" si="146"/>
        <v>0</v>
      </c>
      <c r="AR223">
        <f t="shared" si="147"/>
        <v>0</v>
      </c>
      <c r="AS223">
        <f t="shared" si="137"/>
        <v>0</v>
      </c>
      <c r="AT223">
        <f t="shared" si="138"/>
        <v>0</v>
      </c>
      <c r="AU223">
        <f t="shared" si="139"/>
        <v>0</v>
      </c>
      <c r="AV223">
        <f t="shared" si="140"/>
        <v>0</v>
      </c>
      <c r="AW223">
        <f t="shared" si="141"/>
        <v>0</v>
      </c>
      <c r="AX223">
        <f t="shared" si="142"/>
        <v>0</v>
      </c>
      <c r="AY223">
        <f t="shared" si="143"/>
        <v>0</v>
      </c>
      <c r="AZ223" t="s">
        <v>64</v>
      </c>
    </row>
    <row r="224" spans="1:52">
      <c r="A224">
        <v>223</v>
      </c>
      <c r="B224" s="14">
        <v>46180</v>
      </c>
      <c r="C224" t="s">
        <v>1</v>
      </c>
      <c r="D224" t="s">
        <v>2</v>
      </c>
      <c r="E224" t="s">
        <v>212</v>
      </c>
      <c r="F224" t="s">
        <v>20</v>
      </c>
      <c r="G224">
        <v>0</v>
      </c>
      <c r="H224">
        <v>0</v>
      </c>
      <c r="I224" t="s">
        <v>193</v>
      </c>
      <c r="J224" t="s">
        <v>193</v>
      </c>
      <c r="K224" t="s">
        <v>211</v>
      </c>
      <c r="L224" t="s">
        <v>191</v>
      </c>
      <c r="M224" t="s">
        <v>20</v>
      </c>
      <c r="N224" t="s">
        <v>190</v>
      </c>
      <c r="O224">
        <f t="shared" si="111"/>
        <v>1</v>
      </c>
      <c r="P224">
        <f t="shared" si="112"/>
        <v>0</v>
      </c>
      <c r="Q224">
        <f t="shared" si="113"/>
        <v>1</v>
      </c>
      <c r="R224">
        <f t="shared" si="114"/>
        <v>0</v>
      </c>
      <c r="S224">
        <f t="shared" si="115"/>
        <v>1</v>
      </c>
      <c r="T224">
        <f t="shared" si="116"/>
        <v>0</v>
      </c>
      <c r="U224">
        <f t="shared" si="117"/>
        <v>0</v>
      </c>
      <c r="V224">
        <f t="shared" si="118"/>
        <v>0</v>
      </c>
      <c r="W224">
        <f t="shared" si="119"/>
        <v>0</v>
      </c>
      <c r="X224">
        <f t="shared" si="120"/>
        <v>0</v>
      </c>
      <c r="Y224">
        <f t="shared" si="121"/>
        <v>0</v>
      </c>
      <c r="Z224">
        <f t="shared" si="122"/>
        <v>0</v>
      </c>
      <c r="AA224">
        <f t="shared" si="123"/>
        <v>0</v>
      </c>
      <c r="AB224">
        <f t="shared" si="124"/>
        <v>0</v>
      </c>
      <c r="AC224">
        <f t="shared" si="125"/>
        <v>0</v>
      </c>
      <c r="AD224">
        <f t="shared" si="126"/>
        <v>0</v>
      </c>
      <c r="AE224">
        <f t="shared" si="127"/>
        <v>0</v>
      </c>
      <c r="AF224">
        <f t="shared" si="128"/>
        <v>0</v>
      </c>
      <c r="AG224">
        <f t="shared" si="129"/>
        <v>0</v>
      </c>
      <c r="AH224">
        <f t="shared" si="130"/>
        <v>0</v>
      </c>
      <c r="AI224">
        <f t="shared" si="131"/>
        <v>0</v>
      </c>
      <c r="AJ224">
        <f t="shared" si="132"/>
        <v>0</v>
      </c>
      <c r="AK224">
        <f t="shared" si="133"/>
        <v>0</v>
      </c>
      <c r="AL224">
        <f t="shared" si="144"/>
        <v>0</v>
      </c>
      <c r="AM224">
        <f t="shared" si="145"/>
        <v>0</v>
      </c>
      <c r="AN224">
        <f t="shared" si="134"/>
        <v>0</v>
      </c>
      <c r="AO224">
        <f t="shared" si="135"/>
        <v>0</v>
      </c>
      <c r="AP224">
        <f t="shared" si="136"/>
        <v>0</v>
      </c>
      <c r="AQ224">
        <f t="shared" si="146"/>
        <v>0</v>
      </c>
      <c r="AR224">
        <f t="shared" si="147"/>
        <v>0</v>
      </c>
      <c r="AS224">
        <f t="shared" si="137"/>
        <v>0</v>
      </c>
      <c r="AT224">
        <f t="shared" si="138"/>
        <v>0</v>
      </c>
      <c r="AU224">
        <f t="shared" si="139"/>
        <v>0</v>
      </c>
      <c r="AV224">
        <f t="shared" si="140"/>
        <v>0</v>
      </c>
      <c r="AW224">
        <f t="shared" si="141"/>
        <v>0</v>
      </c>
      <c r="AX224">
        <f t="shared" si="142"/>
        <v>0</v>
      </c>
      <c r="AY224">
        <f t="shared" si="143"/>
        <v>0</v>
      </c>
      <c r="AZ224" t="s">
        <v>64</v>
      </c>
    </row>
    <row r="225" spans="1:52">
      <c r="A225">
        <v>224</v>
      </c>
      <c r="B225" s="14">
        <v>46180</v>
      </c>
      <c r="C225" t="s">
        <v>18</v>
      </c>
      <c r="D225" t="s">
        <v>4</v>
      </c>
      <c r="E225" t="s">
        <v>210</v>
      </c>
      <c r="F225" t="s">
        <v>3</v>
      </c>
      <c r="G225">
        <v>0</v>
      </c>
      <c r="H225">
        <v>0</v>
      </c>
      <c r="I225" t="s">
        <v>193</v>
      </c>
      <c r="J225" t="s">
        <v>193</v>
      </c>
      <c r="K225" t="s">
        <v>209</v>
      </c>
      <c r="L225" t="s">
        <v>191</v>
      </c>
      <c r="M225" t="s">
        <v>11</v>
      </c>
      <c r="N225" t="s">
        <v>190</v>
      </c>
      <c r="O225">
        <f t="shared" si="111"/>
        <v>1</v>
      </c>
      <c r="P225">
        <f t="shared" si="112"/>
        <v>0</v>
      </c>
      <c r="Q225">
        <f t="shared" si="113"/>
        <v>0</v>
      </c>
      <c r="R225">
        <f t="shared" si="114"/>
        <v>0</v>
      </c>
      <c r="S225">
        <f t="shared" si="115"/>
        <v>1</v>
      </c>
      <c r="T225">
        <f t="shared" si="116"/>
        <v>0</v>
      </c>
      <c r="U225">
        <f t="shared" si="117"/>
        <v>0</v>
      </c>
      <c r="V225">
        <f t="shared" si="118"/>
        <v>0</v>
      </c>
      <c r="W225">
        <f t="shared" si="119"/>
        <v>0</v>
      </c>
      <c r="X225">
        <f t="shared" si="120"/>
        <v>0</v>
      </c>
      <c r="Y225">
        <f t="shared" si="121"/>
        <v>0</v>
      </c>
      <c r="Z225">
        <f t="shared" si="122"/>
        <v>0</v>
      </c>
      <c r="AA225">
        <f t="shared" si="123"/>
        <v>0</v>
      </c>
      <c r="AB225">
        <f t="shared" si="124"/>
        <v>0</v>
      </c>
      <c r="AC225">
        <f t="shared" si="125"/>
        <v>0</v>
      </c>
      <c r="AD225">
        <f t="shared" si="126"/>
        <v>0</v>
      </c>
      <c r="AE225">
        <f t="shared" si="127"/>
        <v>0</v>
      </c>
      <c r="AF225">
        <f t="shared" si="128"/>
        <v>0</v>
      </c>
      <c r="AG225">
        <f t="shared" si="129"/>
        <v>0</v>
      </c>
      <c r="AH225">
        <f t="shared" si="130"/>
        <v>0</v>
      </c>
      <c r="AI225">
        <f t="shared" si="131"/>
        <v>0</v>
      </c>
      <c r="AJ225">
        <f t="shared" si="132"/>
        <v>0</v>
      </c>
      <c r="AK225">
        <f t="shared" si="133"/>
        <v>0</v>
      </c>
      <c r="AL225">
        <f t="shared" si="144"/>
        <v>0</v>
      </c>
      <c r="AM225">
        <f t="shared" si="145"/>
        <v>0</v>
      </c>
      <c r="AN225">
        <f t="shared" si="134"/>
        <v>0</v>
      </c>
      <c r="AO225">
        <f t="shared" si="135"/>
        <v>0</v>
      </c>
      <c r="AP225">
        <f t="shared" si="136"/>
        <v>0</v>
      </c>
      <c r="AQ225">
        <f t="shared" si="146"/>
        <v>0</v>
      </c>
      <c r="AR225">
        <f t="shared" si="147"/>
        <v>0</v>
      </c>
      <c r="AS225">
        <f t="shared" si="137"/>
        <v>0</v>
      </c>
      <c r="AT225">
        <f t="shared" si="138"/>
        <v>0</v>
      </c>
      <c r="AU225">
        <f t="shared" si="139"/>
        <v>0</v>
      </c>
      <c r="AV225">
        <f t="shared" si="140"/>
        <v>0</v>
      </c>
      <c r="AW225">
        <f t="shared" si="141"/>
        <v>0</v>
      </c>
      <c r="AX225">
        <f t="shared" si="142"/>
        <v>0</v>
      </c>
      <c r="AY225">
        <f t="shared" si="143"/>
        <v>0</v>
      </c>
      <c r="AZ225" t="s">
        <v>64</v>
      </c>
    </row>
    <row r="226" spans="1:52">
      <c r="A226">
        <v>225</v>
      </c>
      <c r="B226" s="14">
        <v>46180</v>
      </c>
      <c r="C226" t="s">
        <v>18</v>
      </c>
      <c r="D226" t="s">
        <v>2</v>
      </c>
      <c r="E226" t="s">
        <v>208</v>
      </c>
      <c r="F226" t="s">
        <v>6</v>
      </c>
      <c r="G226">
        <v>0</v>
      </c>
      <c r="H226">
        <v>0</v>
      </c>
      <c r="I226" t="s">
        <v>193</v>
      </c>
      <c r="J226" t="s">
        <v>193</v>
      </c>
      <c r="K226" t="s">
        <v>207</v>
      </c>
      <c r="L226" t="s">
        <v>191</v>
      </c>
      <c r="M226" t="s">
        <v>11</v>
      </c>
      <c r="N226" t="s">
        <v>206</v>
      </c>
      <c r="O226">
        <f t="shared" si="111"/>
        <v>1</v>
      </c>
      <c r="P226">
        <f t="shared" si="112"/>
        <v>1</v>
      </c>
      <c r="Q226">
        <f t="shared" si="113"/>
        <v>1</v>
      </c>
      <c r="R226">
        <f t="shared" si="114"/>
        <v>0</v>
      </c>
      <c r="S226">
        <f t="shared" si="115"/>
        <v>1</v>
      </c>
      <c r="T226">
        <f t="shared" si="116"/>
        <v>0</v>
      </c>
      <c r="U226">
        <f t="shared" si="117"/>
        <v>0</v>
      </c>
      <c r="V226">
        <f t="shared" si="118"/>
        <v>0</v>
      </c>
      <c r="W226">
        <f t="shared" si="119"/>
        <v>0</v>
      </c>
      <c r="X226">
        <f t="shared" si="120"/>
        <v>0</v>
      </c>
      <c r="Y226">
        <f t="shared" si="121"/>
        <v>0</v>
      </c>
      <c r="Z226">
        <f t="shared" si="122"/>
        <v>0</v>
      </c>
      <c r="AA226">
        <f t="shared" si="123"/>
        <v>0</v>
      </c>
      <c r="AB226">
        <f t="shared" si="124"/>
        <v>0</v>
      </c>
      <c r="AC226">
        <f t="shared" si="125"/>
        <v>0</v>
      </c>
      <c r="AD226">
        <f t="shared" si="126"/>
        <v>0</v>
      </c>
      <c r="AE226">
        <f t="shared" si="127"/>
        <v>0</v>
      </c>
      <c r="AF226">
        <f t="shared" si="128"/>
        <v>0</v>
      </c>
      <c r="AG226">
        <f t="shared" si="129"/>
        <v>0</v>
      </c>
      <c r="AH226">
        <f t="shared" si="130"/>
        <v>0</v>
      </c>
      <c r="AI226">
        <f t="shared" si="131"/>
        <v>0</v>
      </c>
      <c r="AJ226">
        <f t="shared" si="132"/>
        <v>0</v>
      </c>
      <c r="AK226">
        <f t="shared" si="133"/>
        <v>0</v>
      </c>
      <c r="AL226">
        <f t="shared" si="144"/>
        <v>0</v>
      </c>
      <c r="AM226">
        <f t="shared" si="145"/>
        <v>0</v>
      </c>
      <c r="AN226">
        <f t="shared" si="134"/>
        <v>0</v>
      </c>
      <c r="AO226">
        <f t="shared" si="135"/>
        <v>0</v>
      </c>
      <c r="AP226">
        <f t="shared" si="136"/>
        <v>0</v>
      </c>
      <c r="AQ226">
        <f t="shared" si="146"/>
        <v>0</v>
      </c>
      <c r="AR226">
        <f t="shared" si="147"/>
        <v>0</v>
      </c>
      <c r="AS226">
        <f t="shared" si="137"/>
        <v>0</v>
      </c>
      <c r="AT226">
        <f t="shared" si="138"/>
        <v>0</v>
      </c>
      <c r="AU226">
        <f t="shared" si="139"/>
        <v>0</v>
      </c>
      <c r="AV226">
        <f t="shared" si="140"/>
        <v>0</v>
      </c>
      <c r="AW226">
        <f t="shared" si="141"/>
        <v>0</v>
      </c>
      <c r="AX226">
        <f t="shared" si="142"/>
        <v>0</v>
      </c>
      <c r="AY226">
        <f t="shared" si="143"/>
        <v>0</v>
      </c>
      <c r="AZ226" t="s">
        <v>64</v>
      </c>
    </row>
    <row r="227" spans="1:52">
      <c r="A227">
        <v>226</v>
      </c>
      <c r="B227" s="14">
        <v>46180</v>
      </c>
      <c r="C227" t="s">
        <v>18</v>
      </c>
      <c r="D227" t="s">
        <v>4</v>
      </c>
      <c r="E227" t="s">
        <v>205</v>
      </c>
      <c r="F227" t="s">
        <v>3</v>
      </c>
      <c r="G227">
        <v>0</v>
      </c>
      <c r="H227">
        <v>0</v>
      </c>
      <c r="I227" t="s">
        <v>193</v>
      </c>
      <c r="J227" t="s">
        <v>193</v>
      </c>
      <c r="K227" t="s">
        <v>21</v>
      </c>
      <c r="L227" t="s">
        <v>191</v>
      </c>
      <c r="M227" t="s">
        <v>11</v>
      </c>
      <c r="N227" t="s">
        <v>190</v>
      </c>
      <c r="O227">
        <f t="shared" si="111"/>
        <v>0</v>
      </c>
      <c r="P227">
        <f t="shared" si="112"/>
        <v>0</v>
      </c>
      <c r="Q227">
        <f t="shared" si="113"/>
        <v>0</v>
      </c>
      <c r="R227">
        <f t="shared" si="114"/>
        <v>0</v>
      </c>
      <c r="S227">
        <f t="shared" si="115"/>
        <v>1</v>
      </c>
      <c r="T227">
        <f t="shared" si="116"/>
        <v>0</v>
      </c>
      <c r="U227">
        <f t="shared" si="117"/>
        <v>0</v>
      </c>
      <c r="V227">
        <f t="shared" si="118"/>
        <v>0</v>
      </c>
      <c r="W227">
        <f t="shared" si="119"/>
        <v>0</v>
      </c>
      <c r="X227">
        <f t="shared" si="120"/>
        <v>0</v>
      </c>
      <c r="Y227">
        <f t="shared" si="121"/>
        <v>0</v>
      </c>
      <c r="Z227">
        <f t="shared" si="122"/>
        <v>0</v>
      </c>
      <c r="AA227">
        <f t="shared" si="123"/>
        <v>0</v>
      </c>
      <c r="AB227">
        <f t="shared" si="124"/>
        <v>0</v>
      </c>
      <c r="AC227">
        <f t="shared" si="125"/>
        <v>0</v>
      </c>
      <c r="AD227">
        <f t="shared" si="126"/>
        <v>0</v>
      </c>
      <c r="AE227">
        <f t="shared" si="127"/>
        <v>0</v>
      </c>
      <c r="AF227">
        <f t="shared" si="128"/>
        <v>0</v>
      </c>
      <c r="AG227">
        <f t="shared" si="129"/>
        <v>0</v>
      </c>
      <c r="AH227">
        <f t="shared" si="130"/>
        <v>0</v>
      </c>
      <c r="AI227">
        <f t="shared" si="131"/>
        <v>0</v>
      </c>
      <c r="AJ227">
        <f t="shared" si="132"/>
        <v>0</v>
      </c>
      <c r="AK227">
        <f t="shared" si="133"/>
        <v>0</v>
      </c>
      <c r="AL227">
        <f t="shared" si="144"/>
        <v>0</v>
      </c>
      <c r="AM227">
        <f t="shared" si="145"/>
        <v>0</v>
      </c>
      <c r="AN227">
        <f t="shared" si="134"/>
        <v>0</v>
      </c>
      <c r="AO227">
        <f t="shared" si="135"/>
        <v>0</v>
      </c>
      <c r="AP227">
        <f t="shared" si="136"/>
        <v>0</v>
      </c>
      <c r="AQ227">
        <f t="shared" si="146"/>
        <v>0</v>
      </c>
      <c r="AR227">
        <f t="shared" si="147"/>
        <v>0</v>
      </c>
      <c r="AS227">
        <f t="shared" si="137"/>
        <v>0</v>
      </c>
      <c r="AT227">
        <f t="shared" si="138"/>
        <v>0</v>
      </c>
      <c r="AU227">
        <f t="shared" si="139"/>
        <v>0</v>
      </c>
      <c r="AV227">
        <f t="shared" si="140"/>
        <v>0</v>
      </c>
      <c r="AW227">
        <f t="shared" si="141"/>
        <v>0</v>
      </c>
      <c r="AX227">
        <f t="shared" si="142"/>
        <v>0</v>
      </c>
      <c r="AY227">
        <f t="shared" si="143"/>
        <v>0</v>
      </c>
      <c r="AZ227" t="s">
        <v>64</v>
      </c>
    </row>
    <row r="228" spans="1:52">
      <c r="A228">
        <v>227</v>
      </c>
      <c r="B228" s="14">
        <v>46180</v>
      </c>
      <c r="C228" t="s">
        <v>18</v>
      </c>
      <c r="D228" t="s">
        <v>8</v>
      </c>
      <c r="E228" t="s">
        <v>204</v>
      </c>
      <c r="F228" t="s">
        <v>6</v>
      </c>
      <c r="G228">
        <v>0</v>
      </c>
      <c r="H228">
        <v>0</v>
      </c>
      <c r="I228" t="s">
        <v>193</v>
      </c>
      <c r="J228" t="s">
        <v>193</v>
      </c>
      <c r="K228" t="s">
        <v>203</v>
      </c>
      <c r="L228" t="s">
        <v>191</v>
      </c>
      <c r="M228" t="s">
        <v>11</v>
      </c>
      <c r="N228" t="s">
        <v>202</v>
      </c>
      <c r="O228">
        <f t="shared" si="111"/>
        <v>1</v>
      </c>
      <c r="P228">
        <f t="shared" si="112"/>
        <v>1</v>
      </c>
      <c r="Q228">
        <f t="shared" si="113"/>
        <v>0</v>
      </c>
      <c r="R228">
        <f t="shared" si="114"/>
        <v>0</v>
      </c>
      <c r="S228">
        <f t="shared" si="115"/>
        <v>0</v>
      </c>
      <c r="T228">
        <f t="shared" si="116"/>
        <v>0</v>
      </c>
      <c r="U228">
        <f t="shared" si="117"/>
        <v>1</v>
      </c>
      <c r="V228">
        <f t="shared" si="118"/>
        <v>0</v>
      </c>
      <c r="W228">
        <f t="shared" si="119"/>
        <v>0</v>
      </c>
      <c r="X228">
        <f t="shared" si="120"/>
        <v>0</v>
      </c>
      <c r="Y228">
        <f t="shared" si="121"/>
        <v>0</v>
      </c>
      <c r="Z228">
        <f t="shared" si="122"/>
        <v>0</v>
      </c>
      <c r="AA228">
        <f t="shared" si="123"/>
        <v>0</v>
      </c>
      <c r="AB228">
        <f t="shared" si="124"/>
        <v>0</v>
      </c>
      <c r="AC228">
        <f t="shared" si="125"/>
        <v>1</v>
      </c>
      <c r="AD228">
        <f t="shared" si="126"/>
        <v>0</v>
      </c>
      <c r="AE228">
        <f t="shared" si="127"/>
        <v>0</v>
      </c>
      <c r="AF228">
        <f t="shared" si="128"/>
        <v>0</v>
      </c>
      <c r="AG228">
        <f t="shared" si="129"/>
        <v>0</v>
      </c>
      <c r="AH228">
        <f t="shared" si="130"/>
        <v>0</v>
      </c>
      <c r="AI228">
        <f t="shared" si="131"/>
        <v>0</v>
      </c>
      <c r="AJ228">
        <f t="shared" si="132"/>
        <v>1</v>
      </c>
      <c r="AK228">
        <f t="shared" si="133"/>
        <v>0</v>
      </c>
      <c r="AL228">
        <f t="shared" si="144"/>
        <v>0</v>
      </c>
      <c r="AM228">
        <f t="shared" si="145"/>
        <v>0</v>
      </c>
      <c r="AN228">
        <f t="shared" si="134"/>
        <v>0</v>
      </c>
      <c r="AO228">
        <f t="shared" si="135"/>
        <v>0</v>
      </c>
      <c r="AP228">
        <f t="shared" si="136"/>
        <v>0</v>
      </c>
      <c r="AQ228">
        <f t="shared" si="146"/>
        <v>0</v>
      </c>
      <c r="AR228">
        <f t="shared" si="147"/>
        <v>0</v>
      </c>
      <c r="AS228">
        <f t="shared" si="137"/>
        <v>0</v>
      </c>
      <c r="AT228">
        <f t="shared" si="138"/>
        <v>0</v>
      </c>
      <c r="AU228">
        <f t="shared" si="139"/>
        <v>0</v>
      </c>
      <c r="AV228">
        <f t="shared" si="140"/>
        <v>0</v>
      </c>
      <c r="AW228">
        <f t="shared" si="141"/>
        <v>0</v>
      </c>
      <c r="AX228">
        <f t="shared" si="142"/>
        <v>0</v>
      </c>
      <c r="AY228">
        <f t="shared" si="143"/>
        <v>0</v>
      </c>
      <c r="AZ228" t="s">
        <v>64</v>
      </c>
    </row>
    <row r="229" spans="1:52">
      <c r="A229">
        <v>228</v>
      </c>
      <c r="B229" s="14">
        <v>46180</v>
      </c>
      <c r="C229" t="s">
        <v>18</v>
      </c>
      <c r="D229" t="s">
        <v>8</v>
      </c>
      <c r="E229" t="s">
        <v>201</v>
      </c>
      <c r="F229" t="s">
        <v>16</v>
      </c>
      <c r="G229">
        <v>0</v>
      </c>
      <c r="H229">
        <v>0</v>
      </c>
      <c r="I229" t="s">
        <v>193</v>
      </c>
      <c r="J229" t="s">
        <v>193</v>
      </c>
      <c r="K229" t="s">
        <v>200</v>
      </c>
      <c r="L229" t="s">
        <v>199</v>
      </c>
      <c r="M229" t="s">
        <v>11</v>
      </c>
      <c r="N229" t="s">
        <v>198</v>
      </c>
      <c r="O229">
        <f t="shared" si="111"/>
        <v>1</v>
      </c>
      <c r="P229">
        <f t="shared" si="112"/>
        <v>1</v>
      </c>
      <c r="Q229">
        <f t="shared" si="113"/>
        <v>0</v>
      </c>
      <c r="R229">
        <f t="shared" si="114"/>
        <v>0</v>
      </c>
      <c r="S229">
        <f t="shared" si="115"/>
        <v>0</v>
      </c>
      <c r="T229">
        <f t="shared" si="116"/>
        <v>0</v>
      </c>
      <c r="U229">
        <f t="shared" si="117"/>
        <v>0</v>
      </c>
      <c r="V229">
        <f t="shared" si="118"/>
        <v>0</v>
      </c>
      <c r="W229">
        <f t="shared" si="119"/>
        <v>0</v>
      </c>
      <c r="X229">
        <f t="shared" si="120"/>
        <v>0</v>
      </c>
      <c r="Y229">
        <f t="shared" si="121"/>
        <v>0</v>
      </c>
      <c r="Z229">
        <f t="shared" si="122"/>
        <v>0</v>
      </c>
      <c r="AA229">
        <f t="shared" si="123"/>
        <v>0</v>
      </c>
      <c r="AB229">
        <f t="shared" si="124"/>
        <v>0</v>
      </c>
      <c r="AC229">
        <f t="shared" si="125"/>
        <v>0</v>
      </c>
      <c r="AD229">
        <f t="shared" si="126"/>
        <v>0</v>
      </c>
      <c r="AE229">
        <f t="shared" si="127"/>
        <v>0</v>
      </c>
      <c r="AF229">
        <f t="shared" si="128"/>
        <v>0</v>
      </c>
      <c r="AG229">
        <f t="shared" si="129"/>
        <v>0</v>
      </c>
      <c r="AH229">
        <f t="shared" si="130"/>
        <v>0</v>
      </c>
      <c r="AI229">
        <f t="shared" si="131"/>
        <v>0</v>
      </c>
      <c r="AJ229">
        <f t="shared" si="132"/>
        <v>0</v>
      </c>
      <c r="AK229">
        <f t="shared" si="133"/>
        <v>0</v>
      </c>
      <c r="AL229">
        <f t="shared" si="144"/>
        <v>0</v>
      </c>
      <c r="AM229">
        <f t="shared" si="145"/>
        <v>0</v>
      </c>
      <c r="AN229">
        <f t="shared" si="134"/>
        <v>0</v>
      </c>
      <c r="AO229">
        <f t="shared" si="135"/>
        <v>0</v>
      </c>
      <c r="AP229">
        <f t="shared" si="136"/>
        <v>0</v>
      </c>
      <c r="AQ229">
        <f t="shared" si="146"/>
        <v>0</v>
      </c>
      <c r="AR229">
        <f t="shared" si="147"/>
        <v>0</v>
      </c>
      <c r="AS229">
        <f t="shared" si="137"/>
        <v>0</v>
      </c>
      <c r="AT229">
        <f t="shared" si="138"/>
        <v>0</v>
      </c>
      <c r="AU229">
        <f t="shared" si="139"/>
        <v>0</v>
      </c>
      <c r="AV229">
        <f t="shared" si="140"/>
        <v>0</v>
      </c>
      <c r="AW229">
        <f t="shared" si="141"/>
        <v>0</v>
      </c>
      <c r="AX229">
        <f t="shared" si="142"/>
        <v>0</v>
      </c>
      <c r="AY229">
        <f t="shared" si="143"/>
        <v>0</v>
      </c>
      <c r="AZ229" t="s">
        <v>64</v>
      </c>
    </row>
    <row r="230" spans="1:52">
      <c r="A230">
        <v>229</v>
      </c>
      <c r="B230" s="14">
        <v>46180</v>
      </c>
      <c r="C230" t="s">
        <v>18</v>
      </c>
      <c r="D230" t="s">
        <v>7</v>
      </c>
      <c r="E230" t="s">
        <v>197</v>
      </c>
      <c r="F230" t="s">
        <v>3</v>
      </c>
      <c r="G230">
        <v>0</v>
      </c>
      <c r="H230">
        <v>0</v>
      </c>
      <c r="I230" s="3">
        <v>15000</v>
      </c>
      <c r="J230" t="s">
        <v>193</v>
      </c>
      <c r="K230" t="s">
        <v>196</v>
      </c>
      <c r="L230" t="s">
        <v>195</v>
      </c>
      <c r="M230" t="s">
        <v>11</v>
      </c>
      <c r="N230" t="s">
        <v>190</v>
      </c>
      <c r="O230">
        <f t="shared" si="111"/>
        <v>0</v>
      </c>
      <c r="P230">
        <f t="shared" si="112"/>
        <v>0</v>
      </c>
      <c r="Q230">
        <f t="shared" si="113"/>
        <v>0</v>
      </c>
      <c r="R230">
        <f t="shared" si="114"/>
        <v>0</v>
      </c>
      <c r="S230">
        <f t="shared" si="115"/>
        <v>1</v>
      </c>
      <c r="T230">
        <f t="shared" si="116"/>
        <v>0</v>
      </c>
      <c r="U230">
        <f t="shared" si="117"/>
        <v>0</v>
      </c>
      <c r="V230">
        <f t="shared" si="118"/>
        <v>0</v>
      </c>
      <c r="W230">
        <f t="shared" si="119"/>
        <v>0</v>
      </c>
      <c r="X230">
        <f t="shared" si="120"/>
        <v>0</v>
      </c>
      <c r="Y230">
        <f t="shared" si="121"/>
        <v>0</v>
      </c>
      <c r="Z230">
        <f t="shared" si="122"/>
        <v>0</v>
      </c>
      <c r="AA230">
        <f t="shared" si="123"/>
        <v>0</v>
      </c>
      <c r="AB230">
        <f t="shared" si="124"/>
        <v>0</v>
      </c>
      <c r="AC230">
        <f t="shared" si="125"/>
        <v>0</v>
      </c>
      <c r="AD230">
        <f t="shared" si="126"/>
        <v>0</v>
      </c>
      <c r="AE230">
        <f t="shared" si="127"/>
        <v>0</v>
      </c>
      <c r="AF230">
        <f t="shared" si="128"/>
        <v>0</v>
      </c>
      <c r="AG230">
        <f t="shared" si="129"/>
        <v>0</v>
      </c>
      <c r="AH230">
        <f t="shared" si="130"/>
        <v>0</v>
      </c>
      <c r="AI230">
        <f t="shared" si="131"/>
        <v>0</v>
      </c>
      <c r="AJ230">
        <f t="shared" si="132"/>
        <v>0</v>
      </c>
      <c r="AK230">
        <f t="shared" si="133"/>
        <v>1</v>
      </c>
      <c r="AL230">
        <f t="shared" si="144"/>
        <v>0</v>
      </c>
      <c r="AM230">
        <f t="shared" si="145"/>
        <v>0</v>
      </c>
      <c r="AN230">
        <f t="shared" si="134"/>
        <v>1</v>
      </c>
      <c r="AO230">
        <f t="shared" si="135"/>
        <v>0</v>
      </c>
      <c r="AP230">
        <f t="shared" si="136"/>
        <v>0</v>
      </c>
      <c r="AQ230">
        <f t="shared" si="146"/>
        <v>0</v>
      </c>
      <c r="AR230">
        <f t="shared" si="147"/>
        <v>0</v>
      </c>
      <c r="AS230">
        <f t="shared" si="137"/>
        <v>0</v>
      </c>
      <c r="AT230">
        <f t="shared" si="138"/>
        <v>0</v>
      </c>
      <c r="AU230">
        <f t="shared" si="139"/>
        <v>0</v>
      </c>
      <c r="AV230">
        <f t="shared" si="140"/>
        <v>0</v>
      </c>
      <c r="AW230">
        <f t="shared" si="141"/>
        <v>0</v>
      </c>
      <c r="AX230">
        <f t="shared" si="142"/>
        <v>0</v>
      </c>
      <c r="AY230">
        <f t="shared" si="143"/>
        <v>0</v>
      </c>
      <c r="AZ230" t="s">
        <v>64</v>
      </c>
    </row>
    <row r="231" spans="1:52">
      <c r="A231">
        <v>230</v>
      </c>
      <c r="B231" s="14">
        <v>46180</v>
      </c>
      <c r="C231" t="s">
        <v>18</v>
      </c>
      <c r="D231" t="s">
        <v>2</v>
      </c>
      <c r="E231" t="s">
        <v>194</v>
      </c>
      <c r="F231" t="s">
        <v>16</v>
      </c>
      <c r="G231">
        <v>0</v>
      </c>
      <c r="H231">
        <v>0</v>
      </c>
      <c r="I231" s="3">
        <v>12000</v>
      </c>
      <c r="J231" t="s">
        <v>193</v>
      </c>
      <c r="K231" t="s">
        <v>192</v>
      </c>
      <c r="L231" t="s">
        <v>191</v>
      </c>
      <c r="M231" t="s">
        <v>11</v>
      </c>
      <c r="N231" t="s">
        <v>190</v>
      </c>
      <c r="O231">
        <f t="shared" si="111"/>
        <v>1</v>
      </c>
      <c r="P231">
        <f t="shared" si="112"/>
        <v>0</v>
      </c>
      <c r="Q231">
        <f t="shared" si="113"/>
        <v>1</v>
      </c>
      <c r="R231">
        <f t="shared" si="114"/>
        <v>0</v>
      </c>
      <c r="S231">
        <f t="shared" si="115"/>
        <v>1</v>
      </c>
      <c r="T231">
        <f t="shared" si="116"/>
        <v>0</v>
      </c>
      <c r="U231">
        <f t="shared" si="117"/>
        <v>0</v>
      </c>
      <c r="V231">
        <f t="shared" si="118"/>
        <v>0</v>
      </c>
      <c r="W231">
        <f t="shared" si="119"/>
        <v>0</v>
      </c>
      <c r="X231">
        <f t="shared" si="120"/>
        <v>0</v>
      </c>
      <c r="Y231">
        <f t="shared" si="121"/>
        <v>0</v>
      </c>
      <c r="Z231">
        <f t="shared" si="122"/>
        <v>0</v>
      </c>
      <c r="AA231">
        <f t="shared" si="123"/>
        <v>0</v>
      </c>
      <c r="AB231">
        <f t="shared" si="124"/>
        <v>0</v>
      </c>
      <c r="AC231">
        <f t="shared" si="125"/>
        <v>0</v>
      </c>
      <c r="AD231">
        <f t="shared" si="126"/>
        <v>0</v>
      </c>
      <c r="AE231">
        <f t="shared" si="127"/>
        <v>0</v>
      </c>
      <c r="AF231">
        <f t="shared" si="128"/>
        <v>0</v>
      </c>
      <c r="AG231">
        <f t="shared" si="129"/>
        <v>0</v>
      </c>
      <c r="AH231">
        <f t="shared" si="130"/>
        <v>0</v>
      </c>
      <c r="AI231">
        <f t="shared" si="131"/>
        <v>0</v>
      </c>
      <c r="AJ231">
        <f t="shared" si="132"/>
        <v>0</v>
      </c>
      <c r="AK231">
        <f t="shared" si="133"/>
        <v>0</v>
      </c>
      <c r="AL231">
        <f t="shared" si="144"/>
        <v>0</v>
      </c>
      <c r="AM231">
        <f t="shared" si="145"/>
        <v>0</v>
      </c>
      <c r="AN231">
        <f t="shared" si="134"/>
        <v>0</v>
      </c>
      <c r="AO231">
        <f t="shared" si="135"/>
        <v>0</v>
      </c>
      <c r="AP231">
        <f t="shared" si="136"/>
        <v>0</v>
      </c>
      <c r="AQ231">
        <f t="shared" si="146"/>
        <v>0</v>
      </c>
      <c r="AR231">
        <f t="shared" si="147"/>
        <v>0</v>
      </c>
      <c r="AS231">
        <f t="shared" si="137"/>
        <v>0</v>
      </c>
      <c r="AT231">
        <f t="shared" si="138"/>
        <v>0</v>
      </c>
      <c r="AU231">
        <f t="shared" si="139"/>
        <v>0</v>
      </c>
      <c r="AV231">
        <f t="shared" si="140"/>
        <v>0</v>
      </c>
      <c r="AW231">
        <f t="shared" si="141"/>
        <v>0</v>
      </c>
      <c r="AX231">
        <f t="shared" si="142"/>
        <v>0</v>
      </c>
      <c r="AY231">
        <f t="shared" si="143"/>
        <v>0</v>
      </c>
      <c r="AZ231" t="s">
        <v>64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2"/>
  <sheetViews>
    <sheetView topLeftCell="A16" workbookViewId="0">
      <selection activeCell="P26" sqref="P26"/>
    </sheetView>
  </sheetViews>
  <sheetFormatPr defaultRowHeight="14.4"/>
  <cols>
    <col min="1" max="1" width="15" customWidth="1"/>
    <col min="2" max="2" width="13.6640625" customWidth="1"/>
    <col min="3" max="3" width="12.88671875" customWidth="1"/>
    <col min="4" max="4" width="13.88671875" customWidth="1"/>
    <col min="5" max="5" width="11.77734375" customWidth="1"/>
    <col min="8" max="8" width="10.21875" customWidth="1"/>
    <col min="14" max="14" width="12.5546875" customWidth="1"/>
    <col min="15" max="15" width="15.77734375" customWidth="1"/>
    <col min="16" max="16" width="12.88671875" customWidth="1"/>
    <col min="17" max="17" width="15.21875" customWidth="1"/>
    <col min="18" max="18" width="14" customWidth="1"/>
  </cols>
  <sheetData>
    <row r="1" spans="1:18">
      <c r="A1" s="1" t="s">
        <v>46</v>
      </c>
      <c r="B1" s="1" t="s">
        <v>47</v>
      </c>
      <c r="C1" s="1" t="s">
        <v>48</v>
      </c>
      <c r="D1" s="1" t="s">
        <v>49</v>
      </c>
      <c r="E1" s="1" t="s">
        <v>50</v>
      </c>
      <c r="F1" s="1" t="s">
        <v>14</v>
      </c>
      <c r="G1" s="1" t="s">
        <v>12</v>
      </c>
      <c r="H1" s="1" t="s">
        <v>5</v>
      </c>
      <c r="I1" s="1" t="s">
        <v>13</v>
      </c>
      <c r="J1" s="1" t="s">
        <v>6</v>
      </c>
      <c r="K1" s="1" t="s">
        <v>17</v>
      </c>
      <c r="L1" s="1" t="s">
        <v>16</v>
      </c>
      <c r="M1" s="1" t="s">
        <v>20</v>
      </c>
      <c r="N1" s="1" t="s">
        <v>51</v>
      </c>
      <c r="O1" s="1" t="s">
        <v>52</v>
      </c>
      <c r="P1" s="1" t="s">
        <v>53</v>
      </c>
      <c r="Q1" s="1" t="s">
        <v>54</v>
      </c>
      <c r="R1" s="1" t="s">
        <v>55</v>
      </c>
    </row>
    <row r="2" spans="1:18">
      <c r="A2" t="s">
        <v>25</v>
      </c>
      <c r="B2">
        <f>SUM([1]RAW_DATA!O:O)</f>
        <v>144</v>
      </c>
      <c r="C2" s="4">
        <f>B2/(COUNTA(RAW_DATA!A:A)-1)</f>
        <v>0.62608695652173918</v>
      </c>
      <c r="D2">
        <f>SUM([1]RAW_DATA!O:O)</f>
        <v>144</v>
      </c>
      <c r="E2">
        <f>SUMIF(RAW_DATA!$F:$F,"Bengaluru",RAW_DATA!$O:$O)</f>
        <v>55</v>
      </c>
      <c r="F2">
        <f>SUMIF(RAW_DATA!$F:$F,"Gurgaon",RAW_DATA!O:O)</f>
        <v>24</v>
      </c>
      <c r="G2">
        <f>SUMIF(RAW_DATA!$F:$F,"Noida",RAW_DATA!O:O)</f>
        <v>7</v>
      </c>
      <c r="H2">
        <f>SUMIF(RAW_DATA!$F:$F,"Hyderabad",RAW_DATA!O:O)</f>
        <v>18</v>
      </c>
      <c r="I2">
        <f>SUMIF(RAW_DATA!$F:$F,"Pune",RAW_DATA!O:O)</f>
        <v>9</v>
      </c>
      <c r="J2">
        <f>SUMIF(RAW_DATA!$F:$F,"Mumbai",RAW_DATA!O:O)</f>
        <v>9</v>
      </c>
      <c r="K2">
        <f>SUMIF(RAW_DATA!$F:$F,"Delhi",RAW_DATA!O:O)</f>
        <v>5</v>
      </c>
      <c r="L2">
        <f>SUMIF(RAW_DATA!$F:$F,"Chennai",RAW_DATA!O:O)</f>
        <v>9</v>
      </c>
      <c r="M2">
        <f>SUMIF(RAW_DATA!$F:$F,"Remote",RAW_DATA!O:O)</f>
        <v>8</v>
      </c>
      <c r="N2">
        <f>SUMIF(RAW_DATA!$D:$D,"Data Analyst",RAW_DATA!O:O)</f>
        <v>50</v>
      </c>
      <c r="O2">
        <f>SUMIF(RAW_DATA!$D:$D,"Business Analyst",RAW_DATA!O:O)</f>
        <v>23</v>
      </c>
      <c r="P2">
        <f>SUMIF(RAW_DATA!$D:$D,"Data Engineer",RAW_DATA!O:O)</f>
        <v>46</v>
      </c>
      <c r="Q2">
        <f>SUMIF(RAW_DATA!$D:$D,"BI Developer",RAW_DATA!O:O)</f>
        <v>18</v>
      </c>
      <c r="R2">
        <f>SUMIF(RAW_DATA!$D:$D,"MIS Analyst",RAW_DATA!O:O)</f>
        <v>6</v>
      </c>
    </row>
    <row r="3" spans="1:18">
      <c r="A3" t="s">
        <v>19</v>
      </c>
      <c r="B3">
        <f>SUM([1]RAW_DATA!P:P)</f>
        <v>80</v>
      </c>
      <c r="C3" s="4">
        <f>B3/(COUNTA(RAW_DATA!A:A)-1)</f>
        <v>0.34782608695652173</v>
      </c>
      <c r="D3">
        <f>SUM([1]RAW_DATA!P:P)</f>
        <v>80</v>
      </c>
      <c r="E3">
        <f>SUMIF(RAW_DATA!$F:$F,"Bengaluru",RAW_DATA!$P:$P)</f>
        <v>24</v>
      </c>
      <c r="F3">
        <f>SUMIF(RAW_DATA!$F:$F,"Gurgaon",RAW_DATA!P:P)</f>
        <v>16</v>
      </c>
      <c r="G3">
        <f>SUMIF(RAW_DATA!$F:$F,"Noida",RAW_DATA!P:P)</f>
        <v>4</v>
      </c>
      <c r="H3">
        <f>SUMIF(RAW_DATA!$F:$F,"Hyderabad",RAW_DATA!P:P)</f>
        <v>11</v>
      </c>
      <c r="I3">
        <f>SUMIF(RAW_DATA!$F:$F,"Pune",RAW_DATA!P:P)</f>
        <v>8</v>
      </c>
      <c r="J3">
        <f>SUMIF(RAW_DATA!$F:$F,"Mumbai",RAW_DATA!P:P)</f>
        <v>7</v>
      </c>
      <c r="K3">
        <f>SUMIF(RAW_DATA!$F:$F,"Delhi",RAW_DATA!P:P)</f>
        <v>3</v>
      </c>
      <c r="L3">
        <f>SUMIF(RAW_DATA!$F:$F,"Chennai",RAW_DATA!P:P)</f>
        <v>3</v>
      </c>
      <c r="M3">
        <f>SUMIF(RAW_DATA!$F:$F,"Remote",RAW_DATA!P:P)</f>
        <v>4</v>
      </c>
      <c r="N3">
        <f>SUMIF(RAW_DATA!$D:$D,"Data Analyst",RAW_DATA!P:P)</f>
        <v>29</v>
      </c>
      <c r="O3">
        <f>SUMIF(RAW_DATA!$D:$D,"Business Analyst",RAW_DATA!P:P)</f>
        <v>5</v>
      </c>
      <c r="P3">
        <f>SUMIF(RAW_DATA!$D:$D,"Data Engineer",RAW_DATA!P:P)</f>
        <v>42</v>
      </c>
      <c r="Q3">
        <f>SUMIF(RAW_DATA!$D:$D,"BI Developer",RAW_DATA!P:P)</f>
        <v>3</v>
      </c>
      <c r="R3">
        <f>SUMIF(RAW_DATA!$D:$D,"MIS Analyst",RAW_DATA!P:P)</f>
        <v>1</v>
      </c>
    </row>
    <row r="4" spans="1:18">
      <c r="A4" t="s">
        <v>26</v>
      </c>
      <c r="B4">
        <f>SUM([1]RAW_DATA!Q:Q)</f>
        <v>63</v>
      </c>
      <c r="C4" s="4">
        <f>B4/(COUNTA(RAW_DATA!A:A)-1)</f>
        <v>0.27391304347826084</v>
      </c>
      <c r="D4">
        <f>SUM([1]RAW_DATA!Q:Q)</f>
        <v>63</v>
      </c>
      <c r="E4">
        <f>SUMIF(RAW_DATA!$F:$F,"Bengaluru",RAW_DATA!$Q:$Q)</f>
        <v>25</v>
      </c>
      <c r="F4">
        <f>SUMIF(RAW_DATA!$F:$F,"Gurgaon",RAW_DATA!Q:Q)</f>
        <v>7</v>
      </c>
      <c r="G4">
        <f>SUMIF(RAW_DATA!$F:$F,"Noida",RAW_DATA!Q:Q)</f>
        <v>1</v>
      </c>
      <c r="H4">
        <f>SUMIF(RAW_DATA!$F:$F,"Hyderabad",RAW_DATA!Q:Q)</f>
        <v>8</v>
      </c>
      <c r="I4">
        <f>SUMIF(RAW_DATA!$F:$F,"Pune",RAW_DATA!Q:Q)</f>
        <v>3</v>
      </c>
      <c r="J4">
        <f>SUMIF(RAW_DATA!$F:$F,"Mumbai",RAW_DATA!Q:Q)</f>
        <v>7</v>
      </c>
      <c r="K4">
        <f>SUMIF(RAW_DATA!$F:$F,"Delhi",RAW_DATA!Q:Q)</f>
        <v>2</v>
      </c>
      <c r="L4">
        <f>SUMIF(RAW_DATA!$F:$F,"Chennai",RAW_DATA!Q:Q)</f>
        <v>6</v>
      </c>
      <c r="M4">
        <f>SUMIF(RAW_DATA!$F:$F,"Remote",RAW_DATA!Q:Q)</f>
        <v>4</v>
      </c>
      <c r="N4">
        <f>SUMIF(RAW_DATA!$D:$D,"Data Analyst",RAW_DATA!Q:Q)</f>
        <v>30</v>
      </c>
      <c r="O4">
        <f>SUMIF(RAW_DATA!$D:$D,"Business Analyst",RAW_DATA!Q:Q)</f>
        <v>8</v>
      </c>
      <c r="P4">
        <f>SUMIF(RAW_DATA!$D:$D,"Data Engineer",RAW_DATA!Q:Q)</f>
        <v>6</v>
      </c>
      <c r="Q4">
        <f>SUMIF(RAW_DATA!$D:$D,"BI Developer",RAW_DATA!Q:Q)</f>
        <v>15</v>
      </c>
      <c r="R4">
        <f>SUMIF(RAW_DATA!$D:$D,"MIS Analyst",RAW_DATA!Q:Q)</f>
        <v>4</v>
      </c>
    </row>
    <row r="5" spans="1:18">
      <c r="A5" t="s">
        <v>27</v>
      </c>
      <c r="B5">
        <f>SUM([1]RAW_DATA!R:R)</f>
        <v>29</v>
      </c>
      <c r="C5" s="4">
        <f>B5/(COUNTA(RAW_DATA!A:A)-1)</f>
        <v>0.12608695652173912</v>
      </c>
      <c r="D5">
        <f>SUM([1]RAW_DATA!R:R)</f>
        <v>29</v>
      </c>
      <c r="E5">
        <f>SUMIF(RAW_DATA!$F:$F,"Bengaluru",RAW_DATA!$R:$R)</f>
        <v>9</v>
      </c>
      <c r="F5">
        <f>SUMIF(RAW_DATA!$F:$F,"Gurgaon",RAW_DATA!R:R)</f>
        <v>7</v>
      </c>
      <c r="G5">
        <f>SUMIF(RAW_DATA!$F:$F,"Noida",RAW_DATA!R:R)</f>
        <v>2</v>
      </c>
      <c r="H5">
        <f>SUMIF(RAW_DATA!$F:$F,"Hyderabad",RAW_DATA!R:R)</f>
        <v>2</v>
      </c>
      <c r="I5">
        <f>SUMIF(RAW_DATA!$F:$F,"Pune",RAW_DATA!R:R)</f>
        <v>2</v>
      </c>
      <c r="J5">
        <f>SUMIF(RAW_DATA!$F:$F,"Mumbai",RAW_DATA!R:R)</f>
        <v>2</v>
      </c>
      <c r="K5">
        <f>SUMIF(RAW_DATA!$F:$F,"Delhi",RAW_DATA!R:R)</f>
        <v>0</v>
      </c>
      <c r="L5">
        <f>SUMIF(RAW_DATA!$F:$F,"Chennai",RAW_DATA!R:R)</f>
        <v>2</v>
      </c>
      <c r="M5">
        <f>SUMIF(RAW_DATA!$F:$F,"Remote",RAW_DATA!R:R)</f>
        <v>3</v>
      </c>
      <c r="N5">
        <f>SUMIF(RAW_DATA!$D:$D,"Data Analyst",RAW_DATA!R:R)</f>
        <v>18</v>
      </c>
      <c r="O5">
        <f>SUMIF(RAW_DATA!$D:$D,"Business Analyst",RAW_DATA!R:R)</f>
        <v>3</v>
      </c>
      <c r="P5">
        <f>SUMIF(RAW_DATA!$D:$D,"Data Engineer",RAW_DATA!R:R)</f>
        <v>1</v>
      </c>
      <c r="Q5">
        <f>SUMIF(RAW_DATA!$D:$D,"BI Developer",RAW_DATA!R:R)</f>
        <v>3</v>
      </c>
      <c r="R5">
        <f>SUMIF(RAW_DATA!$D:$D,"MIS Analyst",RAW_DATA!R:R)</f>
        <v>4</v>
      </c>
    </row>
    <row r="6" spans="1:18">
      <c r="A6" t="s">
        <v>21</v>
      </c>
      <c r="B6">
        <f>SUM([1]RAW_DATA!S:S)</f>
        <v>86</v>
      </c>
      <c r="C6" s="4">
        <f>B6/(COUNTA(RAW_DATA!A:A)-1)</f>
        <v>0.37391304347826088</v>
      </c>
      <c r="D6">
        <f>SUM([1]RAW_DATA!S:S)</f>
        <v>86</v>
      </c>
      <c r="E6">
        <f>SUMIF(RAW_DATA!$F:$F,"Bengaluru",RAW_DATA!$S:$S)</f>
        <v>27</v>
      </c>
      <c r="F6">
        <f>SUMIF(RAW_DATA!$F:$F,"Gurgaon",RAW_DATA!S:S)</f>
        <v>14</v>
      </c>
      <c r="G6">
        <f>SUMIF(RAW_DATA!$F:$F,"Noida",RAW_DATA!S:S)</f>
        <v>5</v>
      </c>
      <c r="H6">
        <f>SUMIF(RAW_DATA!$F:$F,"Hyderabad",RAW_DATA!S:S)</f>
        <v>8</v>
      </c>
      <c r="I6">
        <f>SUMIF(RAW_DATA!$F:$F,"Pune",RAW_DATA!S:S)</f>
        <v>8</v>
      </c>
      <c r="J6">
        <f>SUMIF(RAW_DATA!$F:$F,"Mumbai",RAW_DATA!S:S)</f>
        <v>10</v>
      </c>
      <c r="K6">
        <f>SUMIF(RAW_DATA!$F:$F,"Delhi",RAW_DATA!S:S)</f>
        <v>4</v>
      </c>
      <c r="L6">
        <f>SUMIF(RAW_DATA!$F:$F,"Chennai",RAW_DATA!S:S)</f>
        <v>4</v>
      </c>
      <c r="M6">
        <f>SUMIF(RAW_DATA!$F:$F,"Remote",RAW_DATA!S:S)</f>
        <v>6</v>
      </c>
      <c r="N6">
        <f>SUMIF(RAW_DATA!$D:$D,"Data Analyst",RAW_DATA!S:S)</f>
        <v>37</v>
      </c>
      <c r="O6">
        <f>SUMIF(RAW_DATA!$D:$D,"Business Analyst",RAW_DATA!S:S)</f>
        <v>28</v>
      </c>
      <c r="P6">
        <f>SUMIF(RAW_DATA!$D:$D,"Data Engineer",RAW_DATA!S:S)</f>
        <v>0</v>
      </c>
      <c r="Q6">
        <f>SUMIF(RAW_DATA!$D:$D,"BI Developer",RAW_DATA!S:S)</f>
        <v>2</v>
      </c>
      <c r="R6">
        <f>SUMIF(RAW_DATA!$D:$D,"MIS Analyst",RAW_DATA!S:S)</f>
        <v>19</v>
      </c>
    </row>
    <row r="7" spans="1:18">
      <c r="A7" t="s">
        <v>28</v>
      </c>
      <c r="B7">
        <f>SUM([1]RAW_DATA!T:T)</f>
        <v>8</v>
      </c>
      <c r="C7" s="4">
        <f>B7/(COUNTA(RAW_DATA!A:A)-1)</f>
        <v>3.4782608695652174E-2</v>
      </c>
      <c r="D7">
        <f>SUM([1]RAW_DATA!T:T)</f>
        <v>8</v>
      </c>
      <c r="E7">
        <f>SUMIF(RAW_DATA!$F:$F,"Bengaluru",RAW_DATA!$T:$T)</f>
        <v>2</v>
      </c>
      <c r="F7">
        <f>SUMIF(RAW_DATA!$F:$F,"Gurgaon",RAW_DATA!T:T)</f>
        <v>1</v>
      </c>
      <c r="G7">
        <f>SUMIF(RAW_DATA!$F:$F,"Noida",RAW_DATA!T:T)</f>
        <v>1</v>
      </c>
      <c r="H7">
        <f>SUMIF(RAW_DATA!$F:$F,"Hyderabad",RAW_DATA!T:T)</f>
        <v>0</v>
      </c>
      <c r="I7">
        <f>SUMIF(RAW_DATA!$F:$F,"Pune",RAW_DATA!T:T)</f>
        <v>1</v>
      </c>
      <c r="J7">
        <f>SUMIF(RAW_DATA!$F:$F,"Mumbai",RAW_DATA!T:T)</f>
        <v>2</v>
      </c>
      <c r="K7">
        <f>SUMIF(RAW_DATA!$F:$F,"Delhi",RAW_DATA!T:T)</f>
        <v>0</v>
      </c>
      <c r="L7">
        <f>SUMIF(RAW_DATA!$F:$F,"Chennai",RAW_DATA!T:T)</f>
        <v>1</v>
      </c>
      <c r="M7">
        <f>SUMIF(RAW_DATA!$F:$F,"Remote",RAW_DATA!T:T)</f>
        <v>0</v>
      </c>
      <c r="N7">
        <f>SUMIF(RAW_DATA!$D:$D,"Data Analyst",RAW_DATA!T:T)</f>
        <v>7</v>
      </c>
      <c r="O7">
        <f>SUMIF(RAW_DATA!$D:$D,"Business Analyst",RAW_DATA!T:T)</f>
        <v>1</v>
      </c>
      <c r="P7">
        <f>SUMIF(RAW_DATA!$D:$D,"Data Engineer",RAW_DATA!T:T)</f>
        <v>0</v>
      </c>
      <c r="Q7">
        <f>SUMIF(RAW_DATA!$D:$D,"BI Developer",RAW_DATA!T:T)</f>
        <v>0</v>
      </c>
      <c r="R7">
        <f>SUMIF(RAW_DATA!$D:$D,"MIS Analyst",RAW_DATA!T:T)</f>
        <v>0</v>
      </c>
    </row>
    <row r="8" spans="1:18">
      <c r="A8" t="s">
        <v>29</v>
      </c>
      <c r="B8">
        <f>SUM([1]RAW_DATA!U:U)</f>
        <v>28</v>
      </c>
      <c r="C8" s="4">
        <f>B8/(COUNTA(RAW_DATA!A:A)-1)</f>
        <v>0.12173913043478261</v>
      </c>
      <c r="D8">
        <f>SUM([1]RAW_DATA!U:U)</f>
        <v>28</v>
      </c>
      <c r="E8">
        <f>SUMIF(RAW_DATA!$F:$F,"Bengaluru",RAW_DATA!$U:$U)</f>
        <v>11</v>
      </c>
      <c r="F8">
        <f>SUMIF(RAW_DATA!$F:$F,"Gurgaon",RAW_DATA!U:U)</f>
        <v>2</v>
      </c>
      <c r="G8">
        <f>SUMIF(RAW_DATA!$F:$F,"Noida",RAW_DATA!U:U)</f>
        <v>1</v>
      </c>
      <c r="H8">
        <f>SUMIF(RAW_DATA!$F:$F,"Hyderabad",RAW_DATA!U:U)</f>
        <v>3</v>
      </c>
      <c r="I8">
        <f>SUMIF(RAW_DATA!$F:$F,"Pune",RAW_DATA!U:U)</f>
        <v>4</v>
      </c>
      <c r="J8">
        <f>SUMIF(RAW_DATA!$F:$F,"Mumbai",RAW_DATA!U:U)</f>
        <v>4</v>
      </c>
      <c r="K8">
        <f>SUMIF(RAW_DATA!$F:$F,"Delhi",RAW_DATA!U:U)</f>
        <v>2</v>
      </c>
      <c r="L8">
        <f>SUMIF(RAW_DATA!$F:$F,"Chennai",RAW_DATA!U:U)</f>
        <v>0</v>
      </c>
      <c r="M8">
        <f>SUMIF(RAW_DATA!$F:$F,"Remote",RAW_DATA!U:U)</f>
        <v>1</v>
      </c>
      <c r="N8">
        <f>SUMIF(RAW_DATA!$D:$D,"Data Analyst",RAW_DATA!U:U)</f>
        <v>3</v>
      </c>
      <c r="O8">
        <f>SUMIF(RAW_DATA!$D:$D,"Business Analyst",RAW_DATA!U:U)</f>
        <v>1</v>
      </c>
      <c r="P8">
        <f>SUMIF(RAW_DATA!$D:$D,"Data Engineer",RAW_DATA!U:U)</f>
        <v>23</v>
      </c>
      <c r="Q8">
        <f>SUMIF(RAW_DATA!$D:$D,"BI Developer",RAW_DATA!U:U)</f>
        <v>1</v>
      </c>
      <c r="R8">
        <f>SUMIF(RAW_DATA!$D:$D,"MIS Analyst",RAW_DATA!U:U)</f>
        <v>0</v>
      </c>
    </row>
    <row r="9" spans="1:18">
      <c r="A9" t="s">
        <v>30</v>
      </c>
      <c r="B9">
        <f>SUM([1]RAW_DATA!V:V)</f>
        <v>9</v>
      </c>
      <c r="C9" s="4">
        <f>B9/(COUNTA(RAW_DATA!A:A)-1)</f>
        <v>3.9130434782608699E-2</v>
      </c>
      <c r="D9">
        <f>SUM([1]RAW_DATA!V:V)</f>
        <v>9</v>
      </c>
      <c r="E9">
        <f>SUMIF(RAW_DATA!$F:$F,"Bengaluru",RAW_DATA!$V:$V)</f>
        <v>3</v>
      </c>
      <c r="F9">
        <f>SUMIF(RAW_DATA!$F:$F,"Gurgaon",RAW_DATA!V:V)</f>
        <v>2</v>
      </c>
      <c r="G9">
        <f>SUMIF(RAW_DATA!$F:$F,"Noida",RAW_DATA!V:V)</f>
        <v>1</v>
      </c>
      <c r="H9">
        <f>SUMIF(RAW_DATA!$F:$F,"Hyderabad",RAW_DATA!V:V)</f>
        <v>1</v>
      </c>
      <c r="I9">
        <f>SUMIF(RAW_DATA!$F:$F,"Pune",RAW_DATA!V:V)</f>
        <v>0</v>
      </c>
      <c r="J9">
        <f>SUMIF(RAW_DATA!$F:$F,"Mumbai",RAW_DATA!V:V)</f>
        <v>2</v>
      </c>
      <c r="K9">
        <f>SUMIF(RAW_DATA!$F:$F,"Delhi",RAW_DATA!V:V)</f>
        <v>0</v>
      </c>
      <c r="L9">
        <f>SUMIF(RAW_DATA!$F:$F,"Chennai",RAW_DATA!V:V)</f>
        <v>0</v>
      </c>
      <c r="M9">
        <f>SUMIF(RAW_DATA!$F:$F,"Remote",RAW_DATA!V:V)</f>
        <v>0</v>
      </c>
      <c r="N9">
        <f>SUMIF(RAW_DATA!$D:$D,"Data Analyst",RAW_DATA!V:V)</f>
        <v>2</v>
      </c>
      <c r="O9">
        <f>SUMIF(RAW_DATA!$D:$D,"Business Analyst",RAW_DATA!V:V)</f>
        <v>0</v>
      </c>
      <c r="P9">
        <f>SUMIF(RAW_DATA!$D:$D,"Data Engineer",RAW_DATA!V:V)</f>
        <v>5</v>
      </c>
      <c r="Q9">
        <f>SUMIF(RAW_DATA!$D:$D,"BI Developer",RAW_DATA!V:V)</f>
        <v>1</v>
      </c>
      <c r="R9">
        <f>SUMIF(RAW_DATA!$D:$D,"MIS Analyst",RAW_DATA!V:V)</f>
        <v>0</v>
      </c>
    </row>
    <row r="10" spans="1:18">
      <c r="A10" t="s">
        <v>56</v>
      </c>
      <c r="B10">
        <f>SUM([1]RAW_DATA!W:W)</f>
        <v>7</v>
      </c>
      <c r="C10" s="4">
        <f>B10/(COUNTA(RAW_DATA!A:A)-1)</f>
        <v>3.0434782608695653E-2</v>
      </c>
      <c r="D10">
        <f>SUM([1]RAW_DATA!W:W)</f>
        <v>7</v>
      </c>
      <c r="E10">
        <f>SUMIF(RAW_DATA!$F:$F,"Bengaluru",RAW_DATA!$W:$W)</f>
        <v>2</v>
      </c>
      <c r="F10">
        <f>SUMIF(RAW_DATA!$F:$F,"Gurgaon",RAW_DATA!W:W)</f>
        <v>2</v>
      </c>
      <c r="G10">
        <f>SUMIF(RAW_DATA!$F:$F,"Noida",RAW_DATA!W:W)</f>
        <v>0</v>
      </c>
      <c r="H10">
        <f>SUMIF(RAW_DATA!$F:$F,"Hyderabad",RAW_DATA!W:W)</f>
        <v>1</v>
      </c>
      <c r="I10">
        <f>SUMIF(RAW_DATA!$F:$F,"Pune",RAW_DATA!W:W)</f>
        <v>0</v>
      </c>
      <c r="J10">
        <f>SUMIF(RAW_DATA!$F:$F,"Mumbai",RAW_DATA!W:W)</f>
        <v>0</v>
      </c>
      <c r="K10">
        <f>SUMIF(RAW_DATA!$F:$F,"Delhi",RAW_DATA!W:W)</f>
        <v>1</v>
      </c>
      <c r="L10">
        <f>SUMIF(RAW_DATA!$F:$F,"Chennai",RAW_DATA!W:W)</f>
        <v>1</v>
      </c>
      <c r="M10">
        <f>SUMIF(RAW_DATA!$F:$F,"Remote",RAW_DATA!W:W)</f>
        <v>0</v>
      </c>
      <c r="N10">
        <f>SUMIF(RAW_DATA!$D:$D,"Data Analyst",RAW_DATA!W:W)</f>
        <v>1</v>
      </c>
      <c r="O10">
        <f>SUMIF(RAW_DATA!$D:$D,"Business Analyst",RAW_DATA!W:W)</f>
        <v>0</v>
      </c>
      <c r="P10">
        <f>SUMIF(RAW_DATA!$D:$D,"Data Engineer",RAW_DATA!W:W)</f>
        <v>5</v>
      </c>
      <c r="Q10">
        <f>SUMIF(RAW_DATA!$D:$D,"BI Developer",RAW_DATA!W:W)</f>
        <v>0</v>
      </c>
      <c r="R10">
        <f>SUMIF(RAW_DATA!$D:$D,"MIS Analyst",RAW_DATA!W:W)</f>
        <v>0</v>
      </c>
    </row>
    <row r="11" spans="1:18">
      <c r="A11" t="s">
        <v>31</v>
      </c>
      <c r="B11">
        <f>SUM([1]RAW_DATA!X:X)</f>
        <v>11</v>
      </c>
      <c r="C11" s="4">
        <f>B11/(COUNTA(RAW_DATA!A:A)-1)</f>
        <v>4.7826086956521741E-2</v>
      </c>
      <c r="D11">
        <f>SUM([1]RAW_DATA!X:X)</f>
        <v>11</v>
      </c>
      <c r="E11">
        <f>SUMIF(RAW_DATA!$F:$F,"Bengaluru",RAW_DATA!$X:$X)</f>
        <v>9</v>
      </c>
      <c r="F11">
        <f>SUMIF(RAW_DATA!$F:$F,"Gurgaon",RAW_DATA!X:X)</f>
        <v>0</v>
      </c>
      <c r="G11">
        <f>SUMIF(RAW_DATA!$F:$F,"Noida",RAW_DATA!X:X)</f>
        <v>0</v>
      </c>
      <c r="H11">
        <f>SUMIF(RAW_DATA!$F:$F,"Hyderabad",RAW_DATA!X:X)</f>
        <v>1</v>
      </c>
      <c r="I11">
        <f>SUMIF(RAW_DATA!$F:$F,"Pune",RAW_DATA!X:X)</f>
        <v>0</v>
      </c>
      <c r="J11">
        <f>SUMIF(RAW_DATA!$F:$F,"Mumbai",RAW_DATA!X:X)</f>
        <v>0</v>
      </c>
      <c r="K11">
        <f>SUMIF(RAW_DATA!$F:$F,"Delhi",RAW_DATA!X:X)</f>
        <v>1</v>
      </c>
      <c r="L11">
        <f>SUMIF(RAW_DATA!$F:$F,"Chennai",RAW_DATA!X:X)</f>
        <v>0</v>
      </c>
      <c r="M11">
        <f>SUMIF(RAW_DATA!$F:$F,"Remote",RAW_DATA!X:X)</f>
        <v>0</v>
      </c>
      <c r="N11">
        <f>SUMIF(RAW_DATA!$D:$D,"Data Analyst",RAW_DATA!X:X)</f>
        <v>2</v>
      </c>
      <c r="O11">
        <f>SUMIF(RAW_DATA!$D:$D,"Business Analyst",RAW_DATA!X:X)</f>
        <v>0</v>
      </c>
      <c r="P11">
        <f>SUMIF(RAW_DATA!$D:$D,"Data Engineer",RAW_DATA!X:X)</f>
        <v>4</v>
      </c>
      <c r="Q11">
        <f>SUMIF(RAW_DATA!$D:$D,"BI Developer",RAW_DATA!X:X)</f>
        <v>4</v>
      </c>
      <c r="R11">
        <f>SUMIF(RAW_DATA!$D:$D,"MIS Analyst",RAW_DATA!X:X)</f>
        <v>0</v>
      </c>
    </row>
    <row r="12" spans="1:18">
      <c r="A12" t="s">
        <v>32</v>
      </c>
      <c r="B12">
        <f>SUM([1]RAW_DATA!Y:Y)</f>
        <v>5</v>
      </c>
      <c r="C12" s="4">
        <f>B12/(COUNTA(RAW_DATA!A:A)-1)</f>
        <v>2.1739130434782608E-2</v>
      </c>
      <c r="D12">
        <f>SUM([1]RAW_DATA!Y:Y)</f>
        <v>5</v>
      </c>
      <c r="E12">
        <f>SUMIF(RAW_DATA!$F:$F,"Bengaluru",RAW_DATA!$Y:$Y)</f>
        <v>2</v>
      </c>
      <c r="F12">
        <f>SUMIF(RAW_DATA!$F:$F,"Gurgaon",RAW_DATA!Y:Y)</f>
        <v>1</v>
      </c>
      <c r="G12">
        <f>SUMIF(RAW_DATA!$F:$F,"Noida",RAW_DATA!Y:Y)</f>
        <v>0</v>
      </c>
      <c r="H12">
        <f>SUMIF(RAW_DATA!$F:$F,"Hyderabad",RAW_DATA!Y:Y)</f>
        <v>0</v>
      </c>
      <c r="I12">
        <f>SUMIF(RAW_DATA!$F:$F,"Pune",RAW_DATA!Y:Y)</f>
        <v>0</v>
      </c>
      <c r="J12">
        <f>SUMIF(RAW_DATA!$F:$F,"Mumbai",RAW_DATA!Y:Y)</f>
        <v>0</v>
      </c>
      <c r="K12">
        <f>SUMIF(RAW_DATA!$F:$F,"Delhi",RAW_DATA!Y:Y)</f>
        <v>0</v>
      </c>
      <c r="L12">
        <f>SUMIF(RAW_DATA!$F:$F,"Chennai",RAW_DATA!Y:Y)</f>
        <v>0</v>
      </c>
      <c r="M12">
        <f>SUMIF(RAW_DATA!$F:$F,"Remote",RAW_DATA!Y:Y)</f>
        <v>2</v>
      </c>
      <c r="N12">
        <f>SUMIF(RAW_DATA!$D:$D,"Data Analyst",RAW_DATA!Y:Y)</f>
        <v>4</v>
      </c>
      <c r="O12">
        <f>SUMIF(RAW_DATA!$D:$D,"Business Analyst",RAW_DATA!Y:Y)</f>
        <v>0</v>
      </c>
      <c r="P12">
        <f>SUMIF(RAW_DATA!$D:$D,"Data Engineer",RAW_DATA!Y:Y)</f>
        <v>1</v>
      </c>
      <c r="Q12">
        <f>SUMIF(RAW_DATA!$D:$D,"BI Developer",RAW_DATA!Y:Y)</f>
        <v>0</v>
      </c>
      <c r="R12">
        <f>SUMIF(RAW_DATA!$D:$D,"MIS Analyst",RAW_DATA!Y:Y)</f>
        <v>0</v>
      </c>
    </row>
    <row r="13" spans="1:18">
      <c r="A13" t="s">
        <v>33</v>
      </c>
      <c r="B13">
        <f>SUM([1]RAW_DATA!Z:Z)</f>
        <v>3</v>
      </c>
      <c r="C13" s="4">
        <f>B13/(COUNTA(RAW_DATA!A:A)-1)</f>
        <v>1.3043478260869565E-2</v>
      </c>
      <c r="D13">
        <f>SUM([1]RAW_DATA!Z:Z)</f>
        <v>3</v>
      </c>
      <c r="E13">
        <f>SUMIF(RAW_DATA!$F:$F,"Bengaluru",RAW_DATA!$Z:$Z)</f>
        <v>2</v>
      </c>
      <c r="F13">
        <f>SUMIF(RAW_DATA!$F:$F,"Gurgaon",RAW_DATA!Z:Z)</f>
        <v>1</v>
      </c>
      <c r="G13">
        <f>SUMIF(RAW_DATA!$F:$F,"Noida",RAW_DATA!Z:Z)</f>
        <v>0</v>
      </c>
      <c r="H13">
        <f>SUMIF(RAW_DATA!$F:$F,"Hyderabad",RAW_DATA!Z:Z)</f>
        <v>0</v>
      </c>
      <c r="I13">
        <f>SUMIF(RAW_DATA!$F:$F,"Pune",RAW_DATA!Z:Z)</f>
        <v>0</v>
      </c>
      <c r="J13">
        <f>SUMIF(RAW_DATA!$F:$F,"Mumbai",RAW_DATA!Z:Z)</f>
        <v>0</v>
      </c>
      <c r="K13">
        <f>SUMIF(RAW_DATA!$F:$F,"Delhi",RAW_DATA!Z:Z)</f>
        <v>0</v>
      </c>
      <c r="L13">
        <f>SUMIF(RAW_DATA!$F:$F,"Chennai",RAW_DATA!Z:Z)</f>
        <v>0</v>
      </c>
      <c r="M13">
        <f>SUMIF(RAW_DATA!$F:$F,"Remote",RAW_DATA!Z:Z)</f>
        <v>0</v>
      </c>
      <c r="N13">
        <f>SUMIF(RAW_DATA!$D:$D,"Data Analyst",RAW_DATA!Z:Z)</f>
        <v>3</v>
      </c>
      <c r="O13">
        <f>SUMIF(RAW_DATA!$D:$D,"Business Analyst",RAW_DATA!Z:Z)</f>
        <v>0</v>
      </c>
      <c r="P13">
        <f>SUMIF(RAW_DATA!$D:$D,"Data Engineer",RAW_DATA!Z:Z)</f>
        <v>0</v>
      </c>
      <c r="Q13">
        <f>SUMIF(RAW_DATA!$D:$D,"BI Developer",RAW_DATA!Z:Z)</f>
        <v>0</v>
      </c>
      <c r="R13">
        <f>SUMIF(RAW_DATA!$D:$D,"MIS Analyst",RAW_DATA!Z:Z)</f>
        <v>0</v>
      </c>
    </row>
    <row r="14" spans="1:18">
      <c r="A14" t="s">
        <v>34</v>
      </c>
      <c r="B14">
        <f>SUM([1]RAW_DATA!AA:AA)</f>
        <v>32</v>
      </c>
      <c r="C14" s="4">
        <f>B14/(COUNTA(RAW_DATA!A:A)-1)</f>
        <v>0.1391304347826087</v>
      </c>
      <c r="D14">
        <f>SUM([1]RAW_DATA!AA:AA)</f>
        <v>32</v>
      </c>
      <c r="E14">
        <f>SUMIF(RAW_DATA!$F:$F,"Bengaluru",RAW_DATA!$AA:$AA)</f>
        <v>9</v>
      </c>
      <c r="F14">
        <f>SUMIF(RAW_DATA!$F:$F,"Gurgaon",RAW_DATA!AA:AA)</f>
        <v>9</v>
      </c>
      <c r="G14">
        <f>SUMIF(RAW_DATA!$F:$F,"Noida",RAW_DATA!AA:AA)</f>
        <v>2</v>
      </c>
      <c r="H14">
        <f>SUMIF(RAW_DATA!$F:$F,"Hyderabad",RAW_DATA!AA:AA)</f>
        <v>3</v>
      </c>
      <c r="I14">
        <f>SUMIF(RAW_DATA!$F:$F,"Pune",RAW_DATA!AA:AA)</f>
        <v>3</v>
      </c>
      <c r="J14">
        <f>SUMIF(RAW_DATA!$F:$F,"Mumbai",RAW_DATA!AA:AA)</f>
        <v>2</v>
      </c>
      <c r="K14">
        <f>SUMIF(RAW_DATA!$F:$F,"Delhi",RAW_DATA!AA:AA)</f>
        <v>2</v>
      </c>
      <c r="L14">
        <f>SUMIF(RAW_DATA!$F:$F,"Chennai",RAW_DATA!AA:AA)</f>
        <v>2</v>
      </c>
      <c r="M14">
        <f>SUMIF(RAW_DATA!$F:$F,"Remote",RAW_DATA!AA:AA)</f>
        <v>0</v>
      </c>
      <c r="N14">
        <f>SUMIF(RAW_DATA!$D:$D,"Data Analyst",RAW_DATA!AA:AA)</f>
        <v>5</v>
      </c>
      <c r="O14">
        <f>SUMIF(RAW_DATA!$D:$D,"Business Analyst",RAW_DATA!AA:AA)</f>
        <v>0</v>
      </c>
      <c r="P14">
        <f>SUMIF(RAW_DATA!$D:$D,"Data Engineer",RAW_DATA!AA:AA)</f>
        <v>26</v>
      </c>
      <c r="Q14">
        <f>SUMIF(RAW_DATA!$D:$D,"BI Developer",RAW_DATA!AA:AA)</f>
        <v>0</v>
      </c>
      <c r="R14">
        <f>SUMIF(RAW_DATA!$D:$D,"MIS Analyst",RAW_DATA!AA:AA)</f>
        <v>0</v>
      </c>
    </row>
    <row r="15" spans="1:18">
      <c r="A15" t="s">
        <v>35</v>
      </c>
      <c r="B15">
        <f>SUM([1]RAW_DATA!AB:AB)</f>
        <v>9</v>
      </c>
      <c r="C15" s="4">
        <f>B15/(COUNTA(RAW_DATA!A:A)-1)</f>
        <v>3.9130434782608699E-2</v>
      </c>
      <c r="D15">
        <f>SUM([1]RAW_DATA!AB:AB)</f>
        <v>9</v>
      </c>
      <c r="E15">
        <f>SUMIF(RAW_DATA!$F:$F,"Bengaluru",RAW_DATA!$AB:$AB)</f>
        <v>1</v>
      </c>
      <c r="F15">
        <f>SUMIF(RAW_DATA!$F:$F,"Gurgaon",RAW_DATA!AB:AB)</f>
        <v>2</v>
      </c>
      <c r="G15">
        <f>SUMIF(RAW_DATA!$F:$F,"Noida",RAW_DATA!AB:AB)</f>
        <v>0</v>
      </c>
      <c r="H15">
        <f>SUMIF(RAW_DATA!$F:$F,"Hyderabad",RAW_DATA!AB:AB)</f>
        <v>1</v>
      </c>
      <c r="I15">
        <f>SUMIF(RAW_DATA!$F:$F,"Pune",RAW_DATA!AB:AB)</f>
        <v>2</v>
      </c>
      <c r="J15">
        <f>SUMIF(RAW_DATA!$F:$F,"Mumbai",RAW_DATA!AB:AB)</f>
        <v>1</v>
      </c>
      <c r="K15">
        <f>SUMIF(RAW_DATA!$F:$F,"Delhi",RAW_DATA!AB:AB)</f>
        <v>1</v>
      </c>
      <c r="L15">
        <f>SUMIF(RAW_DATA!$F:$F,"Chennai",RAW_DATA!AB:AB)</f>
        <v>1</v>
      </c>
      <c r="M15">
        <f>SUMIF(RAW_DATA!$F:$F,"Remote",RAW_DATA!AB:AB)</f>
        <v>0</v>
      </c>
      <c r="N15">
        <f>SUMIF(RAW_DATA!$D:$D,"Data Analyst",RAW_DATA!AB:AB)</f>
        <v>0</v>
      </c>
      <c r="O15">
        <f>SUMIF(RAW_DATA!$D:$D,"Business Analyst",RAW_DATA!AB:AB)</f>
        <v>0</v>
      </c>
      <c r="P15">
        <f>SUMIF(RAW_DATA!$D:$D,"Data Engineer",RAW_DATA!AB:AB)</f>
        <v>8</v>
      </c>
      <c r="Q15">
        <f>SUMIF(RAW_DATA!$D:$D,"BI Developer",RAW_DATA!AB:AB)</f>
        <v>0</v>
      </c>
      <c r="R15">
        <f>SUMIF(RAW_DATA!$D:$D,"MIS Analyst",RAW_DATA!AB:AB)</f>
        <v>0</v>
      </c>
    </row>
    <row r="16" spans="1:18">
      <c r="A16" t="s">
        <v>36</v>
      </c>
      <c r="B16">
        <f>SUM([1]RAW_DATA!AC:AC)</f>
        <v>44</v>
      </c>
      <c r="C16" s="4">
        <f>B16/(COUNTA(RAW_DATA!A:A)-1)</f>
        <v>0.19130434782608696</v>
      </c>
      <c r="D16">
        <f>SUM([1]RAW_DATA!AC:AC)</f>
        <v>44</v>
      </c>
      <c r="E16">
        <f>SUMIF(RAW_DATA!$F:$F,"Bengaluru",RAW_DATA!$AC:$AC)</f>
        <v>15</v>
      </c>
      <c r="F16">
        <f>SUMIF(RAW_DATA!$F:$F,"Gurgaon",RAW_DATA!AC:AC)</f>
        <v>6</v>
      </c>
      <c r="G16">
        <f>SUMIF(RAW_DATA!$F:$F,"Noida",RAW_DATA!AC:AC)</f>
        <v>2</v>
      </c>
      <c r="H16">
        <f>SUMIF(RAW_DATA!$F:$F,"Hyderabad",RAW_DATA!AC:AC)</f>
        <v>9</v>
      </c>
      <c r="I16">
        <f>SUMIF(RAW_DATA!$F:$F,"Pune",RAW_DATA!AC:AC)</f>
        <v>1</v>
      </c>
      <c r="J16">
        <f>SUMIF(RAW_DATA!$F:$F,"Mumbai",RAW_DATA!AC:AC)</f>
        <v>4</v>
      </c>
      <c r="K16">
        <f>SUMIF(RAW_DATA!$F:$F,"Delhi",RAW_DATA!AC:AC)</f>
        <v>3</v>
      </c>
      <c r="L16">
        <f>SUMIF(RAW_DATA!$F:$F,"Chennai",RAW_DATA!AC:AC)</f>
        <v>3</v>
      </c>
      <c r="M16">
        <f>SUMIF(RAW_DATA!$F:$F,"Remote",RAW_DATA!AC:AC)</f>
        <v>1</v>
      </c>
      <c r="N16">
        <f>SUMIF(RAW_DATA!$D:$D,"Data Analyst",RAW_DATA!AC:AC)</f>
        <v>9</v>
      </c>
      <c r="O16">
        <f>SUMIF(RAW_DATA!$D:$D,"Business Analyst",RAW_DATA!AC:AC)</f>
        <v>3</v>
      </c>
      <c r="P16">
        <f>SUMIF(RAW_DATA!$D:$D,"Data Engineer",RAW_DATA!AC:AC)</f>
        <v>22</v>
      </c>
      <c r="Q16">
        <f>SUMIF(RAW_DATA!$D:$D,"BI Developer",RAW_DATA!AC:AC)</f>
        <v>10</v>
      </c>
      <c r="R16">
        <f>SUMIF(RAW_DATA!$D:$D,"MIS Analyst",RAW_DATA!AC:AC)</f>
        <v>0</v>
      </c>
    </row>
    <row r="17" spans="1:18">
      <c r="A17" t="s">
        <v>37</v>
      </c>
      <c r="B17">
        <f>SUM([1]RAW_DATA!AD:AD)</f>
        <v>19</v>
      </c>
      <c r="C17" s="4">
        <f>B17/(COUNTA(RAW_DATA!A:A)-1)</f>
        <v>8.2608695652173908E-2</v>
      </c>
      <c r="D17">
        <f>SUM([1]RAW_DATA!AD:AD)</f>
        <v>19</v>
      </c>
      <c r="E17">
        <f>SUMIF(RAW_DATA!$F:$F,"Bengaluru",RAW_DATA!$AD:$AD)</f>
        <v>8</v>
      </c>
      <c r="F17">
        <f>SUMIF(RAW_DATA!$F:$F,"Gurgaon",RAW_DATA!AD:AD)</f>
        <v>4</v>
      </c>
      <c r="G17">
        <f>SUMIF(RAW_DATA!$F:$F,"Noida",RAW_DATA!AD:AD)</f>
        <v>0</v>
      </c>
      <c r="H17">
        <f>SUMIF(RAW_DATA!$F:$F,"Hyderabad",RAW_DATA!AD:AD)</f>
        <v>3</v>
      </c>
      <c r="I17">
        <f>SUMIF(RAW_DATA!$F:$F,"Pune",RAW_DATA!AD:AD)</f>
        <v>2</v>
      </c>
      <c r="J17">
        <f>SUMIF(RAW_DATA!$F:$F,"Mumbai",RAW_DATA!AD:AD)</f>
        <v>1</v>
      </c>
      <c r="K17">
        <f>SUMIF(RAW_DATA!$F:$F,"Delhi",RAW_DATA!AD:AD)</f>
        <v>0</v>
      </c>
      <c r="L17">
        <f>SUMIF(RAW_DATA!$F:$F,"Chennai",RAW_DATA!AD:AD)</f>
        <v>1</v>
      </c>
      <c r="M17">
        <f>SUMIF(RAW_DATA!$F:$F,"Remote",RAW_DATA!AD:AD)</f>
        <v>0</v>
      </c>
      <c r="N17">
        <f>SUMIF(RAW_DATA!$D:$D,"Data Analyst",RAW_DATA!AD:AD)</f>
        <v>4</v>
      </c>
      <c r="O17">
        <f>SUMIF(RAW_DATA!$D:$D,"Business Analyst",RAW_DATA!AD:AD)</f>
        <v>1</v>
      </c>
      <c r="P17">
        <f>SUMIF(RAW_DATA!$D:$D,"Data Engineer",RAW_DATA!AD:AD)</f>
        <v>12</v>
      </c>
      <c r="Q17">
        <f>SUMIF(RAW_DATA!$D:$D,"BI Developer",RAW_DATA!AD:AD)</f>
        <v>2</v>
      </c>
      <c r="R17">
        <f>SUMIF(RAW_DATA!$D:$D,"MIS Analyst",RAW_DATA!AD:AD)</f>
        <v>0</v>
      </c>
    </row>
    <row r="18" spans="1:18">
      <c r="A18" t="s">
        <v>44</v>
      </c>
      <c r="B18">
        <f>SUM([1]RAW_DATA!AE:AE)</f>
        <v>12</v>
      </c>
      <c r="C18" s="4">
        <f>B18/(COUNTA(RAW_DATA!A:A)-1)</f>
        <v>5.2173913043478258E-2</v>
      </c>
      <c r="D18">
        <f>SUM([1]RAW_DATA!AE:AE)</f>
        <v>12</v>
      </c>
      <c r="E18">
        <f>SUMIF(RAW_DATA!$F:$F,"Bengaluru",RAW_DATA!$AE:$AE)</f>
        <v>4</v>
      </c>
      <c r="F18">
        <f>SUMIF(RAW_DATA!$F:$F,"Gurgaon",RAW_DATA!AE:AE)</f>
        <v>2</v>
      </c>
      <c r="G18">
        <f>SUMIF(RAW_DATA!$F:$F,"Noida",RAW_DATA!AE:AE)</f>
        <v>0</v>
      </c>
      <c r="H18">
        <f>SUMIF(RAW_DATA!$F:$F,"Hyderabad",RAW_DATA!AE:AE)</f>
        <v>0</v>
      </c>
      <c r="I18">
        <f>SUMIF(RAW_DATA!$F:$F,"Pune",RAW_DATA!AE:AE)</f>
        <v>2</v>
      </c>
      <c r="J18">
        <f>SUMIF(RAW_DATA!$F:$F,"Mumbai",RAW_DATA!AE:AE)</f>
        <v>2</v>
      </c>
      <c r="K18">
        <f>SUMIF(RAW_DATA!$F:$F,"Delhi",RAW_DATA!AE:AE)</f>
        <v>0</v>
      </c>
      <c r="L18">
        <f>SUMIF(RAW_DATA!$F:$F,"Chennai",RAW_DATA!AE:AE)</f>
        <v>1</v>
      </c>
      <c r="M18">
        <f>SUMIF(RAW_DATA!$F:$F,"Remote",RAW_DATA!AE:AE)</f>
        <v>1</v>
      </c>
      <c r="N18">
        <f>SUMIF(RAW_DATA!$D:$D,"Data Analyst",RAW_DATA!AE:AE)</f>
        <v>2</v>
      </c>
      <c r="O18">
        <f>SUMIF(RAW_DATA!$D:$D,"Business Analyst",RAW_DATA!AE:AE)</f>
        <v>1</v>
      </c>
      <c r="P18">
        <f>SUMIF(RAW_DATA!$D:$D,"Data Engineer",RAW_DATA!AE:AE)</f>
        <v>9</v>
      </c>
      <c r="Q18">
        <f>SUMIF(RAW_DATA!$D:$D,"BI Developer",RAW_DATA!AE:AE)</f>
        <v>0</v>
      </c>
      <c r="R18">
        <f>SUMIF(RAW_DATA!$D:$D,"MIS Analyst",RAW_DATA!AE:AE)</f>
        <v>0</v>
      </c>
    </row>
    <row r="19" spans="1:18">
      <c r="A19" t="s">
        <v>38</v>
      </c>
      <c r="B19">
        <f>SUM([1]RAW_DATA!AF:AF)</f>
        <v>2</v>
      </c>
      <c r="C19" s="4">
        <f>B19/(COUNTA(RAW_DATA!A:A)-1)</f>
        <v>8.6956521739130436E-3</v>
      </c>
      <c r="D19">
        <f>SUM([1]RAW_DATA!AF:AF)</f>
        <v>2</v>
      </c>
      <c r="E19">
        <f>SUMIF(RAW_DATA!$F:$F,"Bengaluru",RAW_DATA!$AF:$AF)</f>
        <v>1</v>
      </c>
      <c r="F19">
        <f>SUMIF(RAW_DATA!$F:$F,"Gurgaon",RAW_DATA!AF:AF)</f>
        <v>1</v>
      </c>
      <c r="G19">
        <f>SUMIF(RAW_DATA!$F:$F,"Noida",RAW_DATA!AF:AF)</f>
        <v>0</v>
      </c>
      <c r="H19">
        <f>SUMIF(RAW_DATA!$F:$F,"Hyderabad",RAW_DATA!AF:AF)</f>
        <v>0</v>
      </c>
      <c r="I19">
        <f>SUMIF(RAW_DATA!$F:$F,"Pune",RAW_DATA!AF:AF)</f>
        <v>0</v>
      </c>
      <c r="J19">
        <f>SUMIF(RAW_DATA!$F:$F,"Mumbai",RAW_DATA!AF:AF)</f>
        <v>0</v>
      </c>
      <c r="K19">
        <f>SUMIF(RAW_DATA!$F:$F,"Delhi",RAW_DATA!AF:AF)</f>
        <v>0</v>
      </c>
      <c r="L19">
        <f>SUMIF(RAW_DATA!$F:$F,"Chennai",RAW_DATA!AF:AF)</f>
        <v>0</v>
      </c>
      <c r="M19">
        <f>SUMIF(RAW_DATA!$F:$F,"Remote",RAW_DATA!AF:AF)</f>
        <v>0</v>
      </c>
      <c r="N19">
        <f>SUMIF(RAW_DATA!$D:$D,"Data Analyst",RAW_DATA!AF:AF)</f>
        <v>2</v>
      </c>
      <c r="O19">
        <f>SUMIF(RAW_DATA!$D:$D,"Business Analyst",RAW_DATA!AF:AF)</f>
        <v>0</v>
      </c>
      <c r="P19">
        <f>SUMIF(RAW_DATA!$D:$D,"Data Engineer",RAW_DATA!AF:AF)</f>
        <v>0</v>
      </c>
      <c r="Q19">
        <f>SUMIF(RAW_DATA!$D:$D,"BI Developer",RAW_DATA!AF:AF)</f>
        <v>0</v>
      </c>
      <c r="R19">
        <f>SUMIF(RAW_DATA!$D:$D,"MIS Analyst",RAW_DATA!AF:AF)</f>
        <v>0</v>
      </c>
    </row>
    <row r="20" spans="1:18">
      <c r="A20" t="s">
        <v>39</v>
      </c>
      <c r="B20">
        <f>SUM([1]RAW_DATA!AG:AG)</f>
        <v>12</v>
      </c>
      <c r="C20" s="4">
        <f>B20/(COUNTA(RAW_DATA!A:A)-1)</f>
        <v>5.2173913043478258E-2</v>
      </c>
      <c r="D20">
        <f>SUM([1]RAW_DATA!AG:AG)</f>
        <v>12</v>
      </c>
      <c r="E20">
        <f>SUMIF(RAW_DATA!$F:$F,"Bengaluru",RAW_DATA!$AG:$AG)</f>
        <v>4</v>
      </c>
      <c r="F20">
        <f>SUMIF(RAW_DATA!$F:$F,"Gurgaon",RAW_DATA!AG:AG)</f>
        <v>2</v>
      </c>
      <c r="G20">
        <f>SUMIF(RAW_DATA!$F:$F,"Noida",RAW_DATA!AG:AG)</f>
        <v>1</v>
      </c>
      <c r="H20">
        <f>SUMIF(RAW_DATA!$F:$F,"Hyderabad",RAW_DATA!AG:AG)</f>
        <v>3</v>
      </c>
      <c r="I20">
        <f>SUMIF(RAW_DATA!$F:$F,"Pune",RAW_DATA!AG:AG)</f>
        <v>1</v>
      </c>
      <c r="J20">
        <f>SUMIF(RAW_DATA!$F:$F,"Mumbai",RAW_DATA!AG:AG)</f>
        <v>0</v>
      </c>
      <c r="K20">
        <f>SUMIF(RAW_DATA!$F:$F,"Delhi",RAW_DATA!AG:AG)</f>
        <v>0</v>
      </c>
      <c r="L20">
        <f>SUMIF(RAW_DATA!$F:$F,"Chennai",RAW_DATA!AG:AG)</f>
        <v>1</v>
      </c>
      <c r="M20">
        <f>SUMIF(RAW_DATA!$F:$F,"Remote",RAW_DATA!AG:AG)</f>
        <v>0</v>
      </c>
      <c r="N20">
        <f>SUMIF(RAW_DATA!$D:$D,"Data Analyst",RAW_DATA!AG:AG)</f>
        <v>4</v>
      </c>
      <c r="O20">
        <f>SUMIF(RAW_DATA!$D:$D,"Business Analyst",RAW_DATA!AG:AG)</f>
        <v>0</v>
      </c>
      <c r="P20">
        <f>SUMIF(RAW_DATA!$D:$D,"Data Engineer",RAW_DATA!AG:AG)</f>
        <v>7</v>
      </c>
      <c r="Q20">
        <f>SUMIF(RAW_DATA!$D:$D,"BI Developer",RAW_DATA!AG:AG)</f>
        <v>1</v>
      </c>
      <c r="R20">
        <f>SUMIF(RAW_DATA!$D:$D,"MIS Analyst",RAW_DATA!AG:AG)</f>
        <v>0</v>
      </c>
    </row>
    <row r="21" spans="1:18">
      <c r="A21" t="s">
        <v>40</v>
      </c>
      <c r="B21">
        <f>SUM([1]RAW_DATA!AH:AH)</f>
        <v>8</v>
      </c>
      <c r="C21" s="4">
        <f>B21/(COUNTA(RAW_DATA!A:A)-1)</f>
        <v>3.4782608695652174E-2</v>
      </c>
      <c r="D21">
        <f>SUM([1]RAW_DATA!AH:AH)</f>
        <v>8</v>
      </c>
      <c r="E21">
        <f>SUMIF(RAW_DATA!$F:$F,"Bengaluru",RAW_DATA!$AH:$AH)</f>
        <v>2</v>
      </c>
      <c r="F21">
        <f>SUMIF(RAW_DATA!$F:$F,"Gurgaon",RAW_DATA!AH:AH)</f>
        <v>2</v>
      </c>
      <c r="G21">
        <f>SUMIF(RAW_DATA!$F:$F,"Noida",RAW_DATA!AH:AH)</f>
        <v>0</v>
      </c>
      <c r="H21">
        <f>SUMIF(RAW_DATA!$F:$F,"Hyderabad",RAW_DATA!AH:AH)</f>
        <v>2</v>
      </c>
      <c r="I21">
        <f>SUMIF(RAW_DATA!$F:$F,"Pune",RAW_DATA!AH:AH)</f>
        <v>2</v>
      </c>
      <c r="J21">
        <f>SUMIF(RAW_DATA!$F:$F,"Mumbai",RAW_DATA!AH:AH)</f>
        <v>0</v>
      </c>
      <c r="K21">
        <f>SUMIF(RAW_DATA!$F:$F,"Delhi",RAW_DATA!AH:AH)</f>
        <v>0</v>
      </c>
      <c r="L21">
        <f>SUMIF(RAW_DATA!$F:$F,"Chennai",RAW_DATA!AH:AH)</f>
        <v>0</v>
      </c>
      <c r="M21">
        <f>SUMIF(RAW_DATA!$F:$F,"Remote",RAW_DATA!AH:AH)</f>
        <v>0</v>
      </c>
      <c r="N21">
        <f>SUMIF(RAW_DATA!$D:$D,"Data Analyst",RAW_DATA!AH:AH)</f>
        <v>1</v>
      </c>
      <c r="O21">
        <f>SUMIF(RAW_DATA!$D:$D,"Business Analyst",RAW_DATA!AH:AH)</f>
        <v>5</v>
      </c>
      <c r="P21">
        <f>SUMIF(RAW_DATA!$D:$D,"Data Engineer",RAW_DATA!AH:AH)</f>
        <v>1</v>
      </c>
      <c r="Q21">
        <f>SUMIF(RAW_DATA!$D:$D,"BI Developer",RAW_DATA!AH:AH)</f>
        <v>1</v>
      </c>
      <c r="R21">
        <f>SUMIF(RAW_DATA!$D:$D,"MIS Analyst",RAW_DATA!AH:AH)</f>
        <v>0</v>
      </c>
    </row>
    <row r="22" spans="1:18">
      <c r="A22" t="s">
        <v>41</v>
      </c>
      <c r="B22">
        <f>SUM([1]RAW_DATA!AI:AI)</f>
        <v>8</v>
      </c>
      <c r="C22" s="4">
        <f>B22/(COUNTA(RAW_DATA!A:A)-1)</f>
        <v>3.4782608695652174E-2</v>
      </c>
      <c r="D22">
        <f>SUM([1]RAW_DATA!AI:AI)</f>
        <v>8</v>
      </c>
      <c r="E22">
        <f>SUMIF(RAW_DATA!$F:$F,"Bengaluru",RAW_DATA!$AI:$AI)</f>
        <v>3</v>
      </c>
      <c r="F22">
        <f>SUMIF(RAW_DATA!$F:$F,"Gurgaon",RAW_DATA!AI:AI)</f>
        <v>1</v>
      </c>
      <c r="G22">
        <f>SUMIF(RAW_DATA!$F:$F,"Noida",RAW_DATA!AI:AI)</f>
        <v>1</v>
      </c>
      <c r="H22">
        <f>SUMIF(RAW_DATA!$F:$F,"Hyderabad",RAW_DATA!AI:AI)</f>
        <v>2</v>
      </c>
      <c r="I22">
        <f>SUMIF(RAW_DATA!$F:$F,"Pune",RAW_DATA!AI:AI)</f>
        <v>1</v>
      </c>
      <c r="J22">
        <f>SUMIF(RAW_DATA!$F:$F,"Mumbai",RAW_DATA!AI:AI)</f>
        <v>0</v>
      </c>
      <c r="K22">
        <f>SUMIF(RAW_DATA!$F:$F,"Delhi",RAW_DATA!AI:AI)</f>
        <v>0</v>
      </c>
      <c r="L22">
        <f>SUMIF(RAW_DATA!$F:$F,"Chennai",RAW_DATA!AI:AI)</f>
        <v>0</v>
      </c>
      <c r="M22">
        <f>SUMIF(RAW_DATA!$F:$F,"Remote",RAW_DATA!AI:AI)</f>
        <v>0</v>
      </c>
      <c r="N22">
        <f>SUMIF(RAW_DATA!$D:$D,"Data Analyst",RAW_DATA!AI:AI)</f>
        <v>0</v>
      </c>
      <c r="O22">
        <f>SUMIF(RAW_DATA!$D:$D,"Business Analyst",RAW_DATA!AI:AI)</f>
        <v>7</v>
      </c>
      <c r="P22">
        <f>SUMIF(RAW_DATA!$D:$D,"Data Engineer",RAW_DATA!AI:AI)</f>
        <v>1</v>
      </c>
      <c r="Q22">
        <f>SUMIF(RAW_DATA!$D:$D,"BI Developer",RAW_DATA!AI:AI)</f>
        <v>0</v>
      </c>
      <c r="R22">
        <f>SUMIF(RAW_DATA!$D:$D,"MIS Analyst",RAW_DATA!AI:AI)</f>
        <v>0</v>
      </c>
    </row>
    <row r="23" spans="1:18">
      <c r="A23" t="s">
        <v>42</v>
      </c>
      <c r="B23">
        <f>SUM([1]RAW_DATA!AJ:AJ)</f>
        <v>14</v>
      </c>
      <c r="C23" s="4">
        <f>B23/(COUNTA(RAW_DATA!A:A)-1)</f>
        <v>6.0869565217391307E-2</v>
      </c>
      <c r="D23">
        <f>SUM([1]RAW_DATA!AJ:AJ)</f>
        <v>14</v>
      </c>
      <c r="E23">
        <f>SUMIF(RAW_DATA!$F:$F,"Bengaluru",RAW_DATA!$AJ:$AJ)</f>
        <v>5</v>
      </c>
      <c r="F23">
        <f>SUMIF(RAW_DATA!$F:$F,"Gurgaon",RAW_DATA!AJ:AJ)</f>
        <v>2</v>
      </c>
      <c r="G23">
        <f>SUMIF(RAW_DATA!$F:$F,"Noida",RAW_DATA!AJ:AJ)</f>
        <v>1</v>
      </c>
      <c r="H23">
        <f>SUMIF(RAW_DATA!$F:$F,"Hyderabad",RAW_DATA!AJ:AJ)</f>
        <v>2</v>
      </c>
      <c r="I23">
        <f>SUMIF(RAW_DATA!$F:$F,"Pune",RAW_DATA!AJ:AJ)</f>
        <v>0</v>
      </c>
      <c r="J23">
        <f>SUMIF(RAW_DATA!$F:$F,"Mumbai",RAW_DATA!AJ:AJ)</f>
        <v>1</v>
      </c>
      <c r="K23">
        <f>SUMIF(RAW_DATA!$F:$F,"Delhi",RAW_DATA!AJ:AJ)</f>
        <v>1</v>
      </c>
      <c r="L23">
        <f>SUMIF(RAW_DATA!$F:$F,"Chennai",RAW_DATA!AJ:AJ)</f>
        <v>2</v>
      </c>
      <c r="M23">
        <f>SUMIF(RAW_DATA!$F:$F,"Remote",RAW_DATA!AJ:AJ)</f>
        <v>0</v>
      </c>
      <c r="N23">
        <f>SUMIF(RAW_DATA!$D:$D,"Data Analyst",RAW_DATA!AJ:AJ)</f>
        <v>2</v>
      </c>
      <c r="O23">
        <f>SUMIF(RAW_DATA!$D:$D,"Business Analyst",RAW_DATA!AJ:AJ)</f>
        <v>1</v>
      </c>
      <c r="P23">
        <f>SUMIF(RAW_DATA!$D:$D,"Data Engineer",RAW_DATA!AJ:AJ)</f>
        <v>10</v>
      </c>
      <c r="Q23">
        <f>SUMIF(RAW_DATA!$D:$D,"BI Developer",RAW_DATA!AJ:AJ)</f>
        <v>1</v>
      </c>
      <c r="R23">
        <f>SUMIF(RAW_DATA!$D:$D,"MIS Analyst",RAW_DATA!AJ:AJ)</f>
        <v>0</v>
      </c>
    </row>
    <row r="24" spans="1:18">
      <c r="A24" t="s">
        <v>43</v>
      </c>
      <c r="B24">
        <v>19</v>
      </c>
      <c r="C24" s="4">
        <f>B24/(COUNTA(RAW_DATA!A:A)-1)</f>
        <v>8.2608695652173908E-2</v>
      </c>
      <c r="D24">
        <f>SUM([1]RAW_DATA!AK:AK)</f>
        <v>19</v>
      </c>
      <c r="E24">
        <f>SUMIF(RAW_DATA!$F:$F,"Bengaluru",RAW_DATA!$AK:$AK)</f>
        <v>5</v>
      </c>
      <c r="F24">
        <f>SUMIF(RAW_DATA!$F:$F,"Gurgaon",RAW_DATA!AK:AK)</f>
        <v>2</v>
      </c>
      <c r="G24">
        <f>SUMIF(RAW_DATA!$F:$F,"Noida",RAW_DATA!AK:AK)</f>
        <v>0</v>
      </c>
      <c r="H24">
        <f>SUMIF(RAW_DATA!$F:$F,"Hyderabad",RAW_DATA!AK:AK)</f>
        <v>0</v>
      </c>
      <c r="I24">
        <f>SUMIF(RAW_DATA!$F:$F,"Pune",RAW_DATA!AK:AK)</f>
        <v>5</v>
      </c>
      <c r="J24">
        <f>SUMIF(RAW_DATA!$F:$F,"Mumbai",RAW_DATA!AK:AK)</f>
        <v>3</v>
      </c>
      <c r="K24">
        <f>SUMIF(RAW_DATA!$F:$F,"Delhi",RAW_DATA!AK:AK)</f>
        <v>2</v>
      </c>
      <c r="L24">
        <f>SUMIF(RAW_DATA!$F:$F,"Chennai",RAW_DATA!AK:AK)</f>
        <v>0</v>
      </c>
      <c r="M24">
        <f>SUMIF(RAW_DATA!$F:$F,"Remote",RAW_DATA!AK:AK)</f>
        <v>2</v>
      </c>
      <c r="N24">
        <f>SUMIF(RAW_DATA!$D:$D,"Data Analyst",RAW_DATA!AK:AK)</f>
        <v>3</v>
      </c>
      <c r="O24">
        <f>SUMIF(RAW_DATA!$D:$D,"Business Analyst",RAW_DATA!AK:AK)</f>
        <v>4</v>
      </c>
      <c r="P24">
        <f>SUMIF(RAW_DATA!$D:$D,"Data Engineer",RAW_DATA!AK:AK)</f>
        <v>0</v>
      </c>
      <c r="Q24">
        <f>SUMIF(RAW_DATA!$D:$D,"BI Developer",RAW_DATA!AK:AK)</f>
        <v>1</v>
      </c>
      <c r="R24">
        <f>SUMIF(RAW_DATA!$D:$D,"MIS Analyst",RAW_DATA!AK:AK)</f>
        <v>11</v>
      </c>
    </row>
    <row r="25" spans="1:18">
      <c r="A25" t="s">
        <v>45</v>
      </c>
      <c r="B25">
        <v>10</v>
      </c>
      <c r="C25" s="4">
        <f>B25/(COUNTA(RAW_DATA!A:A)-1)</f>
        <v>4.3478260869565216E-2</v>
      </c>
      <c r="D25">
        <f>SUM([1]RAW_DATA!AL:AL)</f>
        <v>10</v>
      </c>
      <c r="E25">
        <f>SUMIF(RAW_DATA!$F:$F,"Bengaluru",RAW_DATA!$AL:$AL)</f>
        <v>2</v>
      </c>
      <c r="F25">
        <f>SUMIF(RAW_DATA!$F:$F,"Gurgaon",RAW_DATA!AL:AL)</f>
        <v>3</v>
      </c>
      <c r="G25">
        <f>SUMIF(RAW_DATA!$F:$F,"Noida",RAW_DATA!AL:AL)</f>
        <v>1</v>
      </c>
      <c r="H25">
        <f>SUMIF(RAW_DATA!$F:$F,"Hyderabad",RAW_DATA!AL:AL)</f>
        <v>0</v>
      </c>
      <c r="I25">
        <f>SUMIF(RAW_DATA!$F:$F,"Pune",RAW_DATA!L:AL)</f>
        <v>0</v>
      </c>
      <c r="J25">
        <f>SUMIF(RAW_DATA!$F:$F,"Mumbai",RAW_DATA!AL:AL)</f>
        <v>1</v>
      </c>
      <c r="K25">
        <f>SUMIF(RAW_DATA!$F:$F,"Delhi",RAW_DATA!AL:AL)</f>
        <v>0</v>
      </c>
      <c r="L25">
        <f>SUMIF(RAW_DATA!$F:$F,"Chennai",RAW_DATA!AL:AL)</f>
        <v>2</v>
      </c>
      <c r="M25">
        <f>SUMIF(RAW_DATA!$F:$F,"Remote",RAW_DATA!AL:AL)</f>
        <v>0</v>
      </c>
      <c r="N25">
        <f>SUMIF(RAW_DATA!$D:$D,"Data Analyst",RAW_DATA!AL:AL)</f>
        <v>0</v>
      </c>
      <c r="O25">
        <f>SUMIF(RAW_DATA!$D:$D,"Business Analyst",RAW_DATA!AL:AL)</f>
        <v>0</v>
      </c>
      <c r="P25">
        <f>SUMIF(RAW_DATA!$D:$D,"Data Engineer",RAW_DATA!AL:AL)</f>
        <v>10</v>
      </c>
      <c r="Q25">
        <f>SUMIF(RAW_DATA!$D:$D,"BI Developer",RAW_DATA!AL:AL)</f>
        <v>0</v>
      </c>
      <c r="R25">
        <f>SUMIF(RAW_DATA!$D:$D,"MIS Analyst",RAW_DATA!AL:AL)</f>
        <v>0</v>
      </c>
    </row>
    <row r="29" spans="1:18">
      <c r="A29" s="1" t="s">
        <v>57</v>
      </c>
      <c r="B29" s="1" t="s">
        <v>47</v>
      </c>
      <c r="C29" s="1" t="s">
        <v>48</v>
      </c>
    </row>
    <row r="30" spans="1:18">
      <c r="A30" t="s">
        <v>19</v>
      </c>
      <c r="B30">
        <f>SUM([1]RAW_DATA!AM:AM)</f>
        <v>9</v>
      </c>
      <c r="C30" s="4">
        <f>B30/COUNTA([1]RAW_DATA!AM:AM)</f>
        <v>3.896103896103896E-2</v>
      </c>
    </row>
    <row r="31" spans="1:18">
      <c r="A31" t="s">
        <v>25</v>
      </c>
      <c r="B31">
        <f>SUM([1]RAW_DATA!AN:AN)</f>
        <v>5</v>
      </c>
      <c r="C31" s="4">
        <f>B31/COUNTA([1]RAW_DATA!AN:AN)</f>
        <v>2.1645021645021644E-2</v>
      </c>
    </row>
    <row r="32" spans="1:18">
      <c r="A32" t="s">
        <v>58</v>
      </c>
      <c r="B32">
        <f>SUM([1]RAW_DATA!AO:AO)</f>
        <v>5</v>
      </c>
      <c r="C32" s="4">
        <f>B32/COUNTA([1]RAW_DATA!AO:AO)</f>
        <v>2.1645021645021644E-2</v>
      </c>
    </row>
    <row r="33" spans="1:3">
      <c r="A33" t="s">
        <v>59</v>
      </c>
      <c r="B33">
        <f>SUM([1]RAW_DATA!AP:AP)</f>
        <v>4</v>
      </c>
      <c r="C33" s="4">
        <f>B33/COUNTA([1]RAW_DATA!AP:AP)</f>
        <v>1.7316017316017316E-2</v>
      </c>
    </row>
    <row r="34" spans="1:3">
      <c r="A34" t="s">
        <v>60</v>
      </c>
      <c r="B34">
        <f>SUM([1]RAW_DATA!AQ:AQ)</f>
        <v>8</v>
      </c>
      <c r="C34" s="4">
        <f>B34/COUNTA([1]RAW_DATA!AQ:AQ)</f>
        <v>3.4632034632034632E-2</v>
      </c>
    </row>
    <row r="35" spans="1:3">
      <c r="A35" t="s">
        <v>63</v>
      </c>
      <c r="B35">
        <f>SUM([1]RAW_DATA!AR:AR)</f>
        <v>8</v>
      </c>
      <c r="C35" s="4">
        <f>B35/COUNTA([1]RAW_DATA!AR:AR)</f>
        <v>3.4632034632034632E-2</v>
      </c>
    </row>
    <row r="36" spans="1:3">
      <c r="A36" t="s">
        <v>61</v>
      </c>
      <c r="B36">
        <f>SUM([1]RAW_DATA!AS:AS)</f>
        <v>3</v>
      </c>
      <c r="C36" s="4">
        <f>B36/COUNTA([1]RAW_DATA!AS:AS)</f>
        <v>1.2987012987012988E-2</v>
      </c>
    </row>
    <row r="37" spans="1:3">
      <c r="A37" t="s">
        <v>62</v>
      </c>
      <c r="B37">
        <f>SUM([1]RAW_DATA!AT:AT)</f>
        <v>4</v>
      </c>
      <c r="C37" s="4">
        <f>B37/COUNTA([1]RAW_DATA!AT:AT)</f>
        <v>1.7316017316017316E-2</v>
      </c>
    </row>
    <row r="38" spans="1:3">
      <c r="A38" t="s">
        <v>29</v>
      </c>
      <c r="B38">
        <f>SUM([1]RAW_DATA!AU:AU)</f>
        <v>4</v>
      </c>
      <c r="C38" s="4">
        <f>B38/COUNTA([1]RAW_DATA!AU:AU)</f>
        <v>1.7316017316017316E-2</v>
      </c>
    </row>
    <row r="39" spans="1:3">
      <c r="A39" t="s">
        <v>30</v>
      </c>
      <c r="B39">
        <f>SUM([1]RAW_DATA!AV:AV)</f>
        <v>3</v>
      </c>
      <c r="C39" s="4">
        <f>B39/COUNTA([1]RAW_DATA!AV:AV)</f>
        <v>1.2987012987012988E-2</v>
      </c>
    </row>
    <row r="40" spans="1:3">
      <c r="A40" t="s">
        <v>37</v>
      </c>
      <c r="B40">
        <f>SUM([1]RAW_DATA!AW:AW)</f>
        <v>4</v>
      </c>
      <c r="C40" s="4">
        <f>B40/COUNTA([1]RAW_DATA!AW:AW)</f>
        <v>1.7316017316017316E-2</v>
      </c>
    </row>
    <row r="41" spans="1:3">
      <c r="A41" t="s">
        <v>27</v>
      </c>
      <c r="B41">
        <f>SUM([1]RAW_DATA!AX:AX)</f>
        <v>3</v>
      </c>
      <c r="C41" s="4">
        <f>B41/COUNTA([1]RAW_DATA!AX:AX)</f>
        <v>1.2987012987012988E-2</v>
      </c>
    </row>
    <row r="42" spans="1:3">
      <c r="A42" t="s">
        <v>26</v>
      </c>
      <c r="B42">
        <f>SUM([1]RAW_DATA!AY:AY)</f>
        <v>3</v>
      </c>
      <c r="C42" s="4">
        <f>B42/COUNTA([1]RAW_DATA!AY:AY)</f>
        <v>1.2987012987012988E-2</v>
      </c>
    </row>
  </sheetData>
  <sortState xmlns:xlrd2="http://schemas.microsoft.com/office/spreadsheetml/2017/richdata2" ref="K2:K45">
    <sortCondition descending="1" ref="K1:K4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6"/>
  <sheetViews>
    <sheetView zoomScale="90" zoomScaleNormal="90" workbookViewId="0">
      <selection activeCell="K12" sqref="K12"/>
    </sheetView>
  </sheetViews>
  <sheetFormatPr defaultRowHeight="14.4"/>
  <cols>
    <col min="1" max="1" width="29.109375" customWidth="1"/>
    <col min="2" max="2" width="17.5546875" customWidth="1"/>
    <col min="3" max="3" width="14" customWidth="1"/>
    <col min="4" max="4" width="15.33203125" customWidth="1"/>
    <col min="5" max="5" width="17.6640625" customWidth="1"/>
    <col min="9" max="9" width="21" customWidth="1"/>
    <col min="10" max="10" width="15.33203125" customWidth="1"/>
    <col min="11" max="11" width="18.109375" customWidth="1"/>
    <col min="12" max="12" width="32" customWidth="1"/>
    <col min="13" max="14" width="8.88671875" customWidth="1"/>
    <col min="15" max="20" width="8.88671875" hidden="1" customWidth="1"/>
  </cols>
  <sheetData>
    <row r="1" spans="1:20">
      <c r="A1" s="25" t="s">
        <v>65</v>
      </c>
      <c r="B1" s="25"/>
      <c r="C1" s="25"/>
      <c r="D1" s="25"/>
      <c r="E1" s="25"/>
      <c r="F1" s="25"/>
      <c r="G1" s="25"/>
      <c r="H1" s="25"/>
      <c r="I1" s="25"/>
      <c r="J1" s="25"/>
      <c r="K1" s="25"/>
      <c r="L1" s="25"/>
      <c r="M1" s="25"/>
      <c r="N1" s="25"/>
      <c r="O1" s="25"/>
      <c r="P1" s="25"/>
      <c r="Q1" s="25"/>
      <c r="R1" s="25"/>
      <c r="S1" s="25"/>
      <c r="T1" s="25"/>
    </row>
    <row r="2" spans="1:20">
      <c r="A2" s="25"/>
      <c r="B2" s="25"/>
      <c r="C2" s="25"/>
      <c r="D2" s="25"/>
      <c r="E2" s="25"/>
      <c r="F2" s="25"/>
      <c r="G2" s="25"/>
      <c r="H2" s="25"/>
      <c r="I2" s="25"/>
      <c r="J2" s="25"/>
      <c r="K2" s="25"/>
      <c r="L2" s="25"/>
      <c r="M2" s="25"/>
      <c r="N2" s="25"/>
      <c r="O2" s="25"/>
      <c r="P2" s="25"/>
      <c r="Q2" s="25"/>
      <c r="R2" s="25"/>
      <c r="S2" s="25"/>
      <c r="T2" s="25"/>
    </row>
    <row r="5" spans="1:20">
      <c r="A5" s="17" t="s">
        <v>71</v>
      </c>
      <c r="B5" s="17"/>
      <c r="C5" s="17"/>
      <c r="D5" s="17"/>
      <c r="E5" s="17"/>
      <c r="I5" s="20" t="s">
        <v>96</v>
      </c>
      <c r="J5" s="20"/>
      <c r="K5" s="20"/>
      <c r="L5" s="20"/>
    </row>
    <row r="6" spans="1:20">
      <c r="A6" s="1" t="s">
        <v>66</v>
      </c>
      <c r="B6" s="1" t="s">
        <v>67</v>
      </c>
      <c r="C6" s="1" t="s">
        <v>68</v>
      </c>
      <c r="D6" s="1" t="s">
        <v>69</v>
      </c>
      <c r="E6" s="1" t="s">
        <v>70</v>
      </c>
      <c r="I6" s="1" t="s">
        <v>97</v>
      </c>
      <c r="J6" s="1" t="s">
        <v>67</v>
      </c>
      <c r="K6" s="1" t="s">
        <v>68</v>
      </c>
      <c r="L6" s="1" t="s">
        <v>70</v>
      </c>
    </row>
    <row r="7" spans="1:20">
      <c r="A7" t="s">
        <v>72</v>
      </c>
      <c r="B7">
        <v>205</v>
      </c>
      <c r="C7">
        <v>15</v>
      </c>
      <c r="D7">
        <v>190</v>
      </c>
      <c r="E7" s="4">
        <f>C7/B7</f>
        <v>7.3170731707317069E-2</v>
      </c>
      <c r="I7" t="s">
        <v>1</v>
      </c>
      <c r="J7">
        <f>COUNTIF(RAW_DATA!$C:$C,"LinkedIn")</f>
        <v>75</v>
      </c>
      <c r="K7">
        <f>COUNTIFS(RAW_DATA!$C:$C,"LinkedIn",RAW_DATA!$I:$I,"&gt;"&amp;0)</f>
        <v>1</v>
      </c>
      <c r="L7" s="4">
        <f>K7/J7</f>
        <v>1.3333333333333334E-2</v>
      </c>
    </row>
    <row r="8" spans="1:20">
      <c r="A8" t="s">
        <v>64</v>
      </c>
      <c r="B8">
        <v>25</v>
      </c>
      <c r="C8">
        <v>8</v>
      </c>
      <c r="D8">
        <v>17</v>
      </c>
      <c r="E8" s="4">
        <f>C8/B8</f>
        <v>0.32</v>
      </c>
      <c r="I8" t="s">
        <v>18</v>
      </c>
      <c r="J8">
        <f>COUNTIF(RAW_DATA!$C:$C,"Naukri")</f>
        <v>76</v>
      </c>
      <c r="K8">
        <f>COUNTIFS(RAW_DATA!$C:$C,"Naukri",RAW_DATA!$I:$I,"&gt;"&amp;0)</f>
        <v>15</v>
      </c>
      <c r="L8" s="4">
        <f>K8/J8</f>
        <v>0.19736842105263158</v>
      </c>
    </row>
    <row r="9" spans="1:20">
      <c r="A9" t="s">
        <v>73</v>
      </c>
      <c r="B9">
        <v>230</v>
      </c>
      <c r="C9">
        <v>23</v>
      </c>
      <c r="D9">
        <v>207</v>
      </c>
      <c r="E9" s="4">
        <f>C9/B9</f>
        <v>0.1</v>
      </c>
      <c r="I9" t="s">
        <v>22</v>
      </c>
      <c r="J9">
        <f>COUNTIF(RAW_DATA!$C:$C,"Foundit")</f>
        <v>66</v>
      </c>
      <c r="K9">
        <f>COUNTIFS(RAW_DATA!$C:$C,"Foundit",RAW_DATA!$I:$I,"&gt;"&amp;0)</f>
        <v>2</v>
      </c>
      <c r="L9" s="4">
        <f>K9/J9</f>
        <v>3.0303030303030304E-2</v>
      </c>
    </row>
    <row r="10" spans="1:20">
      <c r="I10" t="s">
        <v>23</v>
      </c>
      <c r="J10">
        <f>COUNTIF(RAW_DATA!$C:$C,"Internshala")</f>
        <v>3</v>
      </c>
      <c r="K10">
        <f>COUNTIFS(RAW_DATA!$C:$C,"Internshala",RAW_DATA!$I:$I,"&gt;"&amp;0)</f>
        <v>3</v>
      </c>
      <c r="L10" s="4">
        <f>K10/J10</f>
        <v>1</v>
      </c>
    </row>
    <row r="11" spans="1:20">
      <c r="I11" t="s">
        <v>24</v>
      </c>
      <c r="J11">
        <f>COUNTIF(RAW_DATA!$C:$C,"Unstop")</f>
        <v>10</v>
      </c>
      <c r="K11">
        <f>COUNTIFS(RAW_DATA!$C:$C,"Unstop",RAW_DATA!$I:$I,"&gt;"&amp;0)</f>
        <v>2</v>
      </c>
      <c r="L11" s="4">
        <f>K11/J11</f>
        <v>0.2</v>
      </c>
    </row>
    <row r="12" spans="1:20">
      <c r="L12" s="4"/>
    </row>
    <row r="14" spans="1:20">
      <c r="A14" s="26" t="s">
        <v>74</v>
      </c>
      <c r="B14" s="26"/>
      <c r="C14" s="26"/>
      <c r="D14" s="26"/>
      <c r="E14" s="26"/>
      <c r="I14" s="28" t="s">
        <v>99</v>
      </c>
      <c r="J14" s="28"/>
      <c r="K14" s="28"/>
      <c r="L14" s="28"/>
    </row>
    <row r="15" spans="1:20">
      <c r="A15" s="1" t="s">
        <v>75</v>
      </c>
      <c r="B15" s="1" t="s">
        <v>76</v>
      </c>
      <c r="I15" s="1" t="s">
        <v>75</v>
      </c>
      <c r="J15" s="1" t="s">
        <v>76</v>
      </c>
    </row>
    <row r="16" spans="1:20">
      <c r="A16" t="s">
        <v>80</v>
      </c>
      <c r="B16" t="s">
        <v>79</v>
      </c>
      <c r="I16" t="s">
        <v>100</v>
      </c>
      <c r="J16" s="3">
        <v>35000</v>
      </c>
    </row>
    <row r="17" spans="1:12">
      <c r="A17" t="s">
        <v>81</v>
      </c>
      <c r="B17" t="s">
        <v>82</v>
      </c>
      <c r="I17" t="s">
        <v>101</v>
      </c>
      <c r="J17" s="3">
        <v>10000</v>
      </c>
    </row>
    <row r="18" spans="1:12">
      <c r="A18" t="s">
        <v>77</v>
      </c>
      <c r="B18" t="s">
        <v>83</v>
      </c>
      <c r="I18" t="s">
        <v>102</v>
      </c>
      <c r="J18" s="3">
        <v>11000</v>
      </c>
    </row>
    <row r="19" spans="1:12">
      <c r="A19" t="s">
        <v>88</v>
      </c>
      <c r="B19" t="s">
        <v>87</v>
      </c>
    </row>
    <row r="20" spans="1:12">
      <c r="A20" t="s">
        <v>89</v>
      </c>
      <c r="B20" t="s">
        <v>86</v>
      </c>
      <c r="I20" s="5" t="s">
        <v>103</v>
      </c>
      <c r="J20" s="5"/>
      <c r="K20" s="5"/>
      <c r="L20" s="5"/>
    </row>
    <row r="21" spans="1:12">
      <c r="A21" t="s">
        <v>84</v>
      </c>
      <c r="B21" t="s">
        <v>92</v>
      </c>
      <c r="I21" s="5" t="s">
        <v>104</v>
      </c>
    </row>
    <row r="22" spans="1:12">
      <c r="A22" t="s">
        <v>85</v>
      </c>
      <c r="B22" t="s">
        <v>93</v>
      </c>
    </row>
    <row r="23" spans="1:12">
      <c r="A23" t="s">
        <v>78</v>
      </c>
      <c r="B23" t="s">
        <v>94</v>
      </c>
    </row>
    <row r="24" spans="1:12">
      <c r="A24" t="s">
        <v>90</v>
      </c>
      <c r="B24" t="s">
        <v>91</v>
      </c>
    </row>
    <row r="26" spans="1:12">
      <c r="A26" s="27" t="s">
        <v>95</v>
      </c>
      <c r="B26" s="27"/>
      <c r="C26" s="27"/>
      <c r="D26" s="27"/>
      <c r="E26" s="27"/>
    </row>
  </sheetData>
  <mergeCells count="6">
    <mergeCell ref="A1:T2"/>
    <mergeCell ref="A5:E5"/>
    <mergeCell ref="A14:E14"/>
    <mergeCell ref="A26:E26"/>
    <mergeCell ref="I5:L5"/>
    <mergeCell ref="I14:L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5"/>
  <sheetViews>
    <sheetView topLeftCell="A8" zoomScaleNormal="100" workbookViewId="0">
      <selection activeCell="I35" sqref="I35"/>
    </sheetView>
  </sheetViews>
  <sheetFormatPr defaultRowHeight="14.4"/>
  <cols>
    <col min="1" max="1" width="13.77734375" customWidth="1"/>
    <col min="2" max="2" width="15" customWidth="1"/>
    <col min="3" max="3" width="14.21875" customWidth="1"/>
    <col min="4" max="4" width="12.6640625" customWidth="1"/>
    <col min="5" max="5" width="15.109375" customWidth="1"/>
    <col min="6" max="6" width="14.6640625" customWidth="1"/>
    <col min="7" max="7" width="11.109375" customWidth="1"/>
    <col min="10" max="10" width="12.44140625" customWidth="1"/>
    <col min="11" max="11" width="14.109375" style="8" customWidth="1"/>
    <col min="12" max="12" width="15.88671875" style="8" customWidth="1"/>
    <col min="13" max="13" width="18.44140625" style="9" customWidth="1"/>
    <col min="14" max="14" width="15.6640625" style="9" customWidth="1"/>
  </cols>
  <sheetData>
    <row r="1" spans="1:14">
      <c r="A1" s="18" t="s">
        <v>150</v>
      </c>
      <c r="B1" s="19"/>
      <c r="C1" s="19"/>
      <c r="D1" s="19"/>
      <c r="E1" s="19"/>
      <c r="F1" s="19"/>
      <c r="G1" s="19"/>
      <c r="H1" s="19"/>
      <c r="I1" s="19"/>
      <c r="J1" s="19"/>
      <c r="K1" s="19"/>
      <c r="L1" s="19"/>
      <c r="M1" s="19"/>
      <c r="N1" s="19"/>
    </row>
    <row r="2" spans="1:14">
      <c r="A2" s="19"/>
      <c r="B2" s="19"/>
      <c r="C2" s="19"/>
      <c r="D2" s="19"/>
      <c r="E2" s="19"/>
      <c r="F2" s="19"/>
      <c r="G2" s="19"/>
      <c r="H2" s="19"/>
      <c r="I2" s="19"/>
      <c r="J2" s="19"/>
      <c r="K2" s="19"/>
      <c r="L2" s="19"/>
      <c r="M2" s="19"/>
      <c r="N2" s="19"/>
    </row>
    <row r="5" spans="1:14">
      <c r="A5" s="20" t="s">
        <v>105</v>
      </c>
      <c r="B5" s="20"/>
      <c r="C5" s="20"/>
      <c r="D5" s="20"/>
      <c r="E5" s="20"/>
      <c r="F5" s="20"/>
      <c r="J5" s="22" t="s">
        <v>114</v>
      </c>
      <c r="K5" s="22"/>
      <c r="L5" s="22"/>
      <c r="M5" s="22"/>
      <c r="N5" s="22"/>
    </row>
    <row r="6" spans="1:14">
      <c r="A6" s="1" t="s">
        <v>106</v>
      </c>
      <c r="B6" s="1" t="s">
        <v>107</v>
      </c>
      <c r="C6" s="1" t="s">
        <v>108</v>
      </c>
      <c r="D6" s="1" t="s">
        <v>109</v>
      </c>
      <c r="E6" s="1" t="s">
        <v>64</v>
      </c>
      <c r="F6" s="1"/>
      <c r="J6" s="1" t="s">
        <v>0</v>
      </c>
      <c r="K6" s="10" t="s">
        <v>115</v>
      </c>
      <c r="L6" s="10" t="s">
        <v>116</v>
      </c>
      <c r="M6" s="11" t="s">
        <v>117</v>
      </c>
      <c r="N6" s="11" t="s">
        <v>118</v>
      </c>
    </row>
    <row r="7" spans="1:14">
      <c r="A7" t="s">
        <v>3</v>
      </c>
      <c r="B7">
        <f>COUNTIF(RAW_DATA!$F:$F,"Bengaluru")</f>
        <v>78</v>
      </c>
      <c r="C7" s="4">
        <f>B7/COUNTA([1]RAW_DATA!$A:$A)</f>
        <v>0.33766233766233766</v>
      </c>
      <c r="D7">
        <f>COUNTIFS(RAW_DATA!$F:$F,"Bengaluru",RAW_DATA!$AZ:$AZ,"Fulltime")</f>
        <v>71</v>
      </c>
      <c r="E7">
        <f>COUNTIFS(RAW_DATA!$F:$F,"Bengaluru",RAW_DATA!$AZ:$AZ,"Internship")</f>
        <v>7</v>
      </c>
      <c r="J7" t="s">
        <v>3</v>
      </c>
      <c r="K7" s="8">
        <f>AVERAGEIFS(RAW_DATA!$G:$G,
            RAW_DATA!$F:$F,"Bengaluru",
            RAW_DATA!$G:$G,"&gt;"&amp;-1)</f>
        <v>2.2638888888888888</v>
      </c>
      <c r="L7" s="8">
        <f>AVERAGEIFS(RAW_DATA!$H:$H,
            RAW_DATA!$F:$F,"Bengaluru",
           RAW_DATA!$H:$H,"&gt;"&amp;-1)</f>
        <v>4.5373134328358207</v>
      </c>
      <c r="M7" s="9">
        <f>COUNTIFS(RAW_DATA!$F:$F,"Bengaluru", RAW_DATA!$G:$G,0) /COUNTIF(RAW_DATA!$F:$F,"Bengaluru")</f>
        <v>0.34615384615384615</v>
      </c>
      <c r="N7" s="9">
        <f>COUNTIFS(RAW_DATA!$F:$F,"Bengaluru",RAW_DATA!$H:$H,"&lt;="&amp;2)
/COUNTIF(RAW_DATA!$F:$F,"Bengaluru")</f>
        <v>0.26923076923076922</v>
      </c>
    </row>
    <row r="8" spans="1:14">
      <c r="A8" t="s">
        <v>5</v>
      </c>
      <c r="B8">
        <f>COUNTIF(RAW_DATA!$F:$F,"Hyderabad")</f>
        <v>28</v>
      </c>
      <c r="C8" s="4">
        <f>B8/COUNTA([1]RAW_DATA!$A:$A)</f>
        <v>0.12121212121212122</v>
      </c>
      <c r="D8">
        <f>COUNTIFS(RAW_DATA!$F:$F,"Hyderabad",RAW_DATA!$AZ:$AZ,"Fulltime")</f>
        <v>28</v>
      </c>
      <c r="E8">
        <f>COUNTIFS(RAW_DATA!$F:$F,"Hyderabad",RAW_DATA!$AZ:$AZ,"Internship")</f>
        <v>0</v>
      </c>
      <c r="J8" t="s">
        <v>119</v>
      </c>
      <c r="K8" s="8">
        <f>AVERAGEIFS(RAW_DATA!$G:$G,
            RAW_DATA!$F:$F,"Hyderabad",
            RAW_DATA!$G:$G,"&gt;"&amp;-1)</f>
        <v>2.3703703703703702</v>
      </c>
      <c r="L8" s="8">
        <f>AVERAGEIFS(RAW_DATA!$H:$H,
            RAW_DATA!$F:$F,"Hyderabad",
           RAW_DATA!$H:$H,"&gt;"&amp;-1)</f>
        <v>5.16</v>
      </c>
      <c r="M8" s="9">
        <f>COUNTIFS(RAW_DATA!$F:$F,"Hyderabad", RAW_DATA!$G:$G,0) /COUNTIF(RAW_DATA!$F:$F,"Hyderabad")</f>
        <v>0.4642857142857143</v>
      </c>
      <c r="N8" s="9">
        <f>COUNTIFS(RAW_DATA!$F:$F,"Hyderabad",RAW_DATA!$H:$H,"&lt;="&amp;2)
/COUNTIF(RAW_DATA!$F:$F,"Hyderabad")</f>
        <v>0.32142857142857145</v>
      </c>
    </row>
    <row r="9" spans="1:14">
      <c r="A9" t="s">
        <v>13</v>
      </c>
      <c r="B9">
        <f>COUNTIF(RAW_DATA!$F:$F,"Pune")</f>
        <v>24</v>
      </c>
      <c r="C9" s="4">
        <f>B9/COUNTA([1]RAW_DATA!$A:$A)</f>
        <v>0.1038961038961039</v>
      </c>
      <c r="D9">
        <f>COUNTIFS(RAW_DATA!$F:$F,"Pune",RAW_DATA!$AZ:$AZ,"Fulltime")</f>
        <v>22</v>
      </c>
      <c r="E9">
        <f>COUNTIFS(RAW_DATA!$F:$F,"Pune",RAW_DATA!$AZ:$AZ,"Internship")</f>
        <v>2</v>
      </c>
      <c r="J9" t="s">
        <v>13</v>
      </c>
      <c r="K9" s="8">
        <f>AVERAGEIFS(RAW_DATA!$G:$G,
            RAW_DATA!$F:$F,"Pune",
            RAW_DATA!$G:$G,"&gt;"&amp;-1)</f>
        <v>1.1428571428571428</v>
      </c>
      <c r="L9" s="8">
        <f>AVERAGEIFS(RAW_DATA!$H:$H,
            RAW_DATA!$F:$F,"Pune",
           RAW_DATA!$H:$H,"&gt;"&amp;-1)</f>
        <v>3.15</v>
      </c>
      <c r="M9" s="9">
        <f>COUNTIFS(RAW_DATA!$F:$F,"Pune", RAW_DATA!$G:$G,0) /COUNTIF(RAW_DATA!$F:$F,"Pune")</f>
        <v>0.66666666666666663</v>
      </c>
      <c r="N9" s="9">
        <f>COUNTIFS(RAW_DATA!$F:$F,"Pune",RAW_DATA!$H:$H,"&lt;="&amp;2)
/COUNTIF(RAW_DATA!$F:$F,"Pune")</f>
        <v>0.58333333333333337</v>
      </c>
    </row>
    <row r="10" spans="1:14">
      <c r="A10" t="s">
        <v>6</v>
      </c>
      <c r="B10">
        <f>COUNTIF(RAW_DATA!$F:$F,"Mumbai")</f>
        <v>19</v>
      </c>
      <c r="C10" s="4">
        <f>B10/COUNTA([1]RAW_DATA!$A:$A)</f>
        <v>8.2251082251082255E-2</v>
      </c>
      <c r="D10">
        <f>COUNTIFS(RAW_DATA!$F:$F,"Mumbai",RAW_DATA!$AZ:$AZ,"Fulltime")</f>
        <v>16</v>
      </c>
      <c r="E10">
        <f>COUNTIFS(RAW_DATA!$F:$F,"Mumbai",RAW_DATA!$AZ:$AZ,"Internship")</f>
        <v>3</v>
      </c>
      <c r="J10" t="s">
        <v>6</v>
      </c>
      <c r="K10" s="8">
        <f>AVERAGEIFS(RAW_DATA!$G:$G,
            RAW_DATA!$F:$F,"Mumbai",
            RAW_DATA!$G:$G,"&gt;"&amp;-1)</f>
        <v>1.0588235294117647</v>
      </c>
      <c r="L10" s="8">
        <f>AVERAGEIFS(RAW_DATA!$H:$H,
            RAW_DATA!$F:$F,"Mumbai",
           RAW_DATA!$H:$H,"&gt;"&amp;-1)</f>
        <v>3.3529411764705883</v>
      </c>
      <c r="M10" s="9">
        <f>COUNTIFS(RAW_DATA!$F:$F,"Mumbai", RAW_DATA!$G:$G,0) /COUNTIF(RAW_DATA!$F:$F,"Mumbai")</f>
        <v>0.52631578947368418</v>
      </c>
      <c r="N10" s="9">
        <f>COUNTIFS(RAW_DATA!$F:$F,"Mumbai",RAW_DATA!$H:$H,"&lt;="&amp;2)
/COUNTIF(RAW_DATA!$F:$F,"Mumbai")</f>
        <v>0.36842105263157893</v>
      </c>
    </row>
    <row r="11" spans="1:14">
      <c r="A11" t="s">
        <v>16</v>
      </c>
      <c r="B11">
        <f>COUNTIF(RAW_DATA!$F:$F,"Chennai")</f>
        <v>16</v>
      </c>
      <c r="C11" s="4">
        <f>B11/COUNTA([1]RAW_DATA!$A:$A)</f>
        <v>6.9264069264069264E-2</v>
      </c>
      <c r="D11">
        <f>COUNTIFS(RAW_DATA!$F:$F,"Chennai",RAW_DATA!$AZ:$AZ,"Fulltime")</f>
        <v>14</v>
      </c>
      <c r="E11">
        <f>COUNTIFS(RAW_DATA!$F:$F,"Chennai",RAW_DATA!$AZ:$AZ,"Internship")</f>
        <v>2</v>
      </c>
      <c r="J11" t="s">
        <v>16</v>
      </c>
      <c r="K11" s="8">
        <f>AVERAGEIFS(RAW_DATA!$G:$G,
            RAW_DATA!$F:$F,"Chennai",
            RAW_DATA!$G:$G,"&gt;"&amp;-1)</f>
        <v>2.1333333333333333</v>
      </c>
      <c r="L11" s="8">
        <f>AVERAGEIFS(RAW_DATA!$H:$H,
            RAW_DATA!$F:$F,"Chennai",
            RAW_DATA!$H:$H,"&gt;"&amp;-1)</f>
        <v>4.2857142857142856</v>
      </c>
      <c r="M11" s="9">
        <f>COUNTIFS(RAW_DATA!$F:$F,"Chennai", RAW_DATA!$G:$G,0) /COUNTIF(RAW_DATA!$F:$F,"Chennai")</f>
        <v>0.375</v>
      </c>
      <c r="N11" s="9">
        <f>COUNTIFS(RAW_DATA!$F:$F,"Chennai",RAW_DATA!$H:$H,"&lt;="&amp;2)
/COUNTIF(RAW_DATA!$F:$F,"Chennai")</f>
        <v>0.375</v>
      </c>
    </row>
    <row r="12" spans="1:14">
      <c r="A12" t="s">
        <v>111</v>
      </c>
      <c r="B12">
        <f>COUNTIF(RAW_DATA!$F:$F,"Delhi")+COUNTIF(RAW_DATA!$F:$F,"Gurgaon")+COUNTIF(RAW_DATA!$F:$F,"Noida")</f>
        <v>56</v>
      </c>
      <c r="C12" s="4">
        <f>B12/COUNTA([1]RAW_DATA!$A:$A)</f>
        <v>0.24242424242424243</v>
      </c>
      <c r="D12">
        <f>COUNTIFS(RAW_DATA!$F:$F,"Delhi",RAW_DATA!$AZ:$AZ,"Fulltime")+ COUNTIFS(RAW_DATA!$F:$F,"Noida",RAW_DATA!$AZ:$AZ,"Fulltime")+COUNTIFS(RAW_DATA!$F:$F,"Gurgaon",RAW_DATA!$AZ:$AZ,"Fulltime")</f>
        <v>53</v>
      </c>
      <c r="E12">
        <f>COUNTIFS(RAW_DATA!$F:$F,"Delhi",RAW_DATA!$AZ:$AZ,"Internship")+COUNTIFS(RAW_DATA!$F:$F,"Noida",RAW_DATA!$AZ:$AZ,"Internship")+COUNTIFS(RAW_DATA!$F:$F,"Gurgaon",RAW_DATA!$AZ:$AZ,"Internship")</f>
        <v>3</v>
      </c>
      <c r="J12" t="s">
        <v>111</v>
      </c>
      <c r="K12" s="8" cm="1">
        <f t="array" ref="K12">AVERAGE(_xlfn._xlws.FILTER([1]RAW_DATA!$G:$G,
               (([1]RAW_DATA!$F:$F="Delhi")+
                ([1]RAW_DATA!$F:$F="Gurgaon")+
                ([1]RAW_DATA!$F:$F="Noida"))*
               ([1]RAW_DATA!$G:$G&gt;-1)))</f>
        <v>1.6481481481481481</v>
      </c>
      <c r="L12" s="8" cm="1">
        <f t="array" ref="L12">AVERAGE(
    _xlfn._xlws.FILTER(
        [1]RAW_DATA!$H:$H,
        (([1]RAW_DATA!$F:$F="Delhi")+
         ([1]RAW_DATA!$F:$F="Gurgaon")+
         ([1]RAW_DATA!$F:$F="Noida"))*
        ([1]RAW_DATA!$H:$H&gt;-1)
    )
)</f>
        <v>3.8333333333333335</v>
      </c>
      <c r="M12" s="9">
        <f>(
COUNTIFS(RAW_DATA!$F:$F,"Delhi",RAW_DATA!$G:$G,0)
+COUNTIFS(RAW_DATA!$F:$F,"Gurgaon",RAW_DATA!$G:$G,0)
+COUNTIFS(RAW_DATA!$F:$F,"Noida",RAW_DATA!$G:$G,0)
)
/
(
COUNTIF(RAW_DATA!$F:$F,"Delhi")
+COUNTIF(RAW_DATA!$F:$F,"Gurgaon")
+COUNTIF(RAW_DATA!$F:$F,"Noida")
)</f>
        <v>0.5535714285714286</v>
      </c>
      <c r="N12" s="9">
        <f>(COUNTIFS(RAW_DATA!$F:$F,"Delhi",RAW_DATA!$H:$H,"&lt;="&amp;2)
 +COUNTIFS(RAW_DATA!$F:$F,"Gurgaon",RAW_DATA!$H:$H,"&lt;="&amp;2)
 +COUNTIFS(RAW_DATA!$F:$F,"Noida",RAW_DATA!$H:$H,"&lt;="&amp;2))
/
(COUNTIF(RAW_DATA!$F:$F,"Delhi")
 +COUNTIF(RAW_DATA!$F:$F,"Gurgaon")
 +COUNTIF(RAW_DATA!$F:$F,"Noida"))</f>
        <v>0.39285714285714285</v>
      </c>
    </row>
    <row r="13" spans="1:14">
      <c r="A13" t="s">
        <v>98</v>
      </c>
      <c r="B13">
        <f>COUNTIF(RAW_DATA!$F:$F,"Bengaluru")</f>
        <v>78</v>
      </c>
      <c r="C13" s="4">
        <f>B13/COUNTA([1]RAW_DATA!$A:$A)</f>
        <v>0.33766233766233766</v>
      </c>
      <c r="D13">
        <f>COUNTIFS(RAW_DATA!$F:$F,"Bengaluru",RAW_DATA!$AZ:$AZ,"Fulltime")</f>
        <v>71</v>
      </c>
      <c r="E13">
        <f>SUM(E7:E12)</f>
        <v>17</v>
      </c>
    </row>
    <row r="15" spans="1:14">
      <c r="A15" s="7" t="s">
        <v>112</v>
      </c>
      <c r="B15" s="7"/>
      <c r="C15" s="7"/>
      <c r="D15" s="7"/>
      <c r="E15" s="7"/>
      <c r="F15" s="7"/>
      <c r="G15" s="7"/>
    </row>
    <row r="16" spans="1:14">
      <c r="A16" s="7" t="s">
        <v>113</v>
      </c>
      <c r="B16" s="7"/>
      <c r="C16" s="7"/>
      <c r="D16" s="7"/>
      <c r="E16" s="7"/>
      <c r="F16" s="7"/>
      <c r="G16" s="7"/>
    </row>
    <row r="18" spans="1:14">
      <c r="A18" s="21" t="s">
        <v>110</v>
      </c>
      <c r="B18" s="21"/>
      <c r="C18" s="21"/>
      <c r="D18" s="21"/>
      <c r="E18" s="21"/>
      <c r="F18" s="21"/>
      <c r="J18" s="23" t="s">
        <v>120</v>
      </c>
      <c r="K18" s="23"/>
      <c r="L18" s="23"/>
      <c r="M18" s="23"/>
      <c r="N18" s="23"/>
    </row>
    <row r="19" spans="1:14">
      <c r="A19" s="1" t="s">
        <v>0</v>
      </c>
      <c r="B19" s="1" t="s">
        <v>2</v>
      </c>
      <c r="C19" s="1" t="s">
        <v>4</v>
      </c>
      <c r="D19" s="1" t="s">
        <v>8</v>
      </c>
      <c r="E19" s="1" t="s">
        <v>9</v>
      </c>
      <c r="F19" s="1" t="s">
        <v>7</v>
      </c>
      <c r="J19" s="1" t="s">
        <v>0</v>
      </c>
      <c r="K19" s="10" t="s">
        <v>121</v>
      </c>
      <c r="L19" s="10" t="s">
        <v>122</v>
      </c>
      <c r="M19" s="11" t="s">
        <v>123</v>
      </c>
      <c r="N19" s="11" t="s">
        <v>140</v>
      </c>
    </row>
    <row r="20" spans="1:14">
      <c r="A20" t="s">
        <v>3</v>
      </c>
      <c r="B20">
        <f>COUNTIFS(RAW_DATA!$F:$F,"Bengaluru",RAW_DATA!$D:$D,"Data Analyst")</f>
        <v>19</v>
      </c>
      <c r="C20">
        <f>COUNTIFS(RAW_DATA!$F:$F,"Bengaluru",RAW_DATA!$D:$D,"Business Analyst")</f>
        <v>21</v>
      </c>
      <c r="D20">
        <f>COUNTIFS(RAW_DATA!$F:$F,"Bengaluru",RAW_DATA!$D:$D,"Data Engineer")</f>
        <v>19</v>
      </c>
      <c r="E20">
        <f>COUNTIFS(RAW_DATA!$F:$F,"Bengaluru",RAW_DATA!$D:$D,"BI Developer")</f>
        <v>12</v>
      </c>
      <c r="F20">
        <f>COUNTIFS(RAW_DATA!$F:$F,"Bengaluru",RAW_DATA!$D:$D,"MIS Analyst")</f>
        <v>7</v>
      </c>
      <c r="J20" t="s">
        <v>3</v>
      </c>
      <c r="K20" s="8" t="s">
        <v>125</v>
      </c>
      <c r="L20" s="8" t="s">
        <v>124</v>
      </c>
      <c r="M20" s="9" t="s">
        <v>126</v>
      </c>
      <c r="N20" s="9" t="s">
        <v>141</v>
      </c>
    </row>
    <row r="21" spans="1:14">
      <c r="A21" t="s">
        <v>111</v>
      </c>
      <c r="B21">
        <f>COUNTIFS(RAW_DATA!$F:$F,"Delhi",RAW_DATA!$D:$D,"Data Analyst")+COUNTIFS(RAW_DATA!$F:$F,"Gurgaon",RAW_DATA!$D:$D,"Data Analyst")+COUNTIFS(RAW_DATA!$F:$F,"Noida",RAW_DATA!$D:$D,"Data Analyst")</f>
        <v>19</v>
      </c>
      <c r="C21">
        <f>COUNTIFS(RAW_DATA!$F:$F,"Delhi",RAW_DATA!$D:$D,"Business Analyst")+COUNTIFS(RAW_DATA!$F:$F,"Gurgaon",RAW_DATA!$D:$D,"Business Analyst")+COUNTIFS(RAW_DATA!$F:$F,"Noida",RAW_DATA!$D:$D,"Business Analyst")</f>
        <v>10</v>
      </c>
      <c r="D21">
        <f>COUNTIFS(RAW_DATA!$F:$F,"Delhi",RAW_DATA!$D:$D,"Data Engineer")+COUNTIFS(RAW_DATA!$F:$F,"Gurgaon",RAW_DATA!$D:$D,"Data Engineer")+COUNTIFS(RAW_DATA!$F:$F,"Noida",RAW_DATA!$D:$D,"Data Engineer")</f>
        <v>16</v>
      </c>
      <c r="E21">
        <f>COUNTIFS(RAW_DATA!$F:$F,"Delhi",RAW_DATA!$D:$D,"BI Developer")+COUNTIFS(RAW_DATA!$F:$F,"Gurgaon",RAW_DATA!$D:$D,"BI Developer")+COUNTIFS(RAW_DATA!$F:$F,"Noida",RAW_DATA!$D:$D,"BI Developer")</f>
        <v>5</v>
      </c>
      <c r="F21">
        <f>COUNTIFS(RAW_DATA!$F:$F,"Delhi",RAW_DATA!$D:$D,"MIS Analyst")+COUNTIFS(RAW_DATA!$F:$F,"Gurgaon",RAW_DATA!$D:$D,"MIS Analyst")+COUNTIFS(RAW_DATA!$F:$F,"Noida",RAW_DATA!$D:$D,"MIS Analyst")</f>
        <v>6</v>
      </c>
      <c r="J21" t="s">
        <v>5</v>
      </c>
      <c r="K21" s="8" t="s">
        <v>127</v>
      </c>
      <c r="L21" s="8" t="s">
        <v>128</v>
      </c>
      <c r="M21" s="9" t="s">
        <v>129</v>
      </c>
      <c r="N21" s="9" t="s">
        <v>142</v>
      </c>
    </row>
    <row r="22" spans="1:14">
      <c r="A22" t="s">
        <v>5</v>
      </c>
      <c r="B22">
        <f>COUNTIFS(RAW_DATA!$F:$F,"Hyderabad",RAW_DATA!$D:$D,"Data Analyst")</f>
        <v>8</v>
      </c>
      <c r="C22">
        <f>COUNTIFS(RAW_DATA!$F:$F,"Hyderabad",RAW_DATA!$D:$D,"Business Analyst")</f>
        <v>8</v>
      </c>
      <c r="D22">
        <f>COUNTIFS(RAW_DATA!$F:$F,"Hyderabad",RAW_DATA!$D:$D,"Data Engineer")</f>
        <v>6</v>
      </c>
      <c r="E22">
        <f>COUNTIFS(RAW_DATA!$F:$F,"Hyderabad",RAW_DATA!$D:$D,"BI Developer")</f>
        <v>4</v>
      </c>
      <c r="F22">
        <f>COUNTIFS(RAW_DATA!$F:$F,"Hyderabad",RAW_DATA!$D:$D,"MIS Analyst")</f>
        <v>1</v>
      </c>
      <c r="J22" t="s">
        <v>13</v>
      </c>
      <c r="K22" s="8" t="s">
        <v>130</v>
      </c>
      <c r="L22" s="8" t="s">
        <v>131</v>
      </c>
      <c r="M22" s="9" t="s">
        <v>132</v>
      </c>
      <c r="N22" s="9" t="s">
        <v>143</v>
      </c>
    </row>
    <row r="23" spans="1:14">
      <c r="A23" t="s">
        <v>13</v>
      </c>
      <c r="B23">
        <f>COUNTIFS(RAW_DATA!$F:$F,"Pune",RAW_DATA!$D:$D,"Data Analyst")</f>
        <v>6</v>
      </c>
      <c r="C23">
        <f>COUNTIFS(RAW_DATA!$F:$F,"Pune",RAW_DATA!$D:$D,"Business Analyst")</f>
        <v>7</v>
      </c>
      <c r="D23">
        <f>COUNTIFS(RAW_DATA!$F:$F,"Pune",RAW_DATA!$D:$D,"Data Engineer")</f>
        <v>7</v>
      </c>
      <c r="E23">
        <f>COUNTIFS(RAW_DATA!$F:$F,"Pune",RAW_DATA!$D:$D,"BI Developer")</f>
        <v>0</v>
      </c>
      <c r="F23">
        <f>COUNTIFS(RAW_DATA!$F:$F,"Pune",RAW_DATA!$D:$D,"MIS Analyst")</f>
        <v>4</v>
      </c>
      <c r="J23" t="s">
        <v>6</v>
      </c>
      <c r="K23" s="8" t="s">
        <v>133</v>
      </c>
      <c r="L23" s="8" t="s">
        <v>134</v>
      </c>
      <c r="M23" s="9" t="s">
        <v>135</v>
      </c>
      <c r="N23" s="9" t="s">
        <v>144</v>
      </c>
    </row>
    <row r="24" spans="1:14">
      <c r="A24" t="s">
        <v>6</v>
      </c>
      <c r="B24">
        <f>COUNTIFS(RAW_DATA!$F:$F,"Mumbai",RAW_DATA!$D:$D,"Data Analyst")</f>
        <v>5</v>
      </c>
      <c r="C24">
        <f>COUNTIFS(RAW_DATA!$F:$F,"Mumbai",RAW_DATA!$D:$D,"Business Analyst")</f>
        <v>5</v>
      </c>
      <c r="D24">
        <f>COUNTIFS(RAW_DATA!$F:$F,"Mumbai",RAW_DATA!$D:$D,"Data Engineer")</f>
        <v>5</v>
      </c>
      <c r="E24">
        <f>COUNTIFS(RAW_DATA!$F:$F,"Mumbai",RAW_DATA!$D:$D,"BI Developer")</f>
        <v>1</v>
      </c>
      <c r="F24">
        <f>COUNTIFS(RAW_DATA!$F:$F,"Mumbai",RAW_DATA!$D:$D,"MIS Analyst")</f>
        <v>3</v>
      </c>
      <c r="J24" t="s">
        <v>16</v>
      </c>
      <c r="K24" s="8" t="s">
        <v>134</v>
      </c>
      <c r="L24" s="8" t="s">
        <v>136</v>
      </c>
      <c r="M24" s="9" t="s">
        <v>137</v>
      </c>
      <c r="N24" s="9" t="s">
        <v>145</v>
      </c>
    </row>
    <row r="25" spans="1:14">
      <c r="A25" t="s">
        <v>16</v>
      </c>
      <c r="B25">
        <f>COUNTIFS(RAW_DATA!$F:$F,"Chennai",RAW_DATA!$D:$D,"Data Analyst")</f>
        <v>3</v>
      </c>
      <c r="C25">
        <f>COUNTIFS(RAW_DATA!$F:$F,"Chennai",RAW_DATA!$D:$D,"Business Analyst")</f>
        <v>7</v>
      </c>
      <c r="D25">
        <f>COUNTIFS(RAW_DATA!$F:$F,"Chennai",RAW_DATA!$D:$D,"Data Engineer")</f>
        <v>5</v>
      </c>
      <c r="E25">
        <f>COUNTIFS(RAW_DATA!$F:$F,"Chennai",RAW_DATA!$D:$D,"BI Developer")</f>
        <v>0</v>
      </c>
      <c r="F25">
        <f>COUNTIFS(RAW_DATA!$F:$F,"Chennai",RAW_DATA!$D:$D,"MIS Analyst")</f>
        <v>1</v>
      </c>
      <c r="J25" t="s">
        <v>111</v>
      </c>
      <c r="K25" s="8" t="s">
        <v>138</v>
      </c>
      <c r="L25" s="8" t="s">
        <v>139</v>
      </c>
      <c r="M25" s="9" t="s">
        <v>146</v>
      </c>
      <c r="N25" s="9" t="s">
        <v>147</v>
      </c>
    </row>
    <row r="29" spans="1:14">
      <c r="A29" s="17" t="s">
        <v>148</v>
      </c>
      <c r="B29" s="17"/>
      <c r="C29" s="17"/>
      <c r="D29" s="17"/>
      <c r="E29" s="17"/>
      <c r="F29" s="17"/>
      <c r="G29" s="17"/>
      <c r="H29" s="17"/>
      <c r="I29" s="17"/>
      <c r="K29" s="24" t="s">
        <v>155</v>
      </c>
      <c r="L29" s="24"/>
      <c r="M29" s="24"/>
      <c r="N29" s="24"/>
    </row>
    <row r="30" spans="1:14">
      <c r="A30" s="1" t="s">
        <v>149</v>
      </c>
      <c r="B30" s="1" t="s">
        <v>98</v>
      </c>
      <c r="C30" s="1" t="s">
        <v>108</v>
      </c>
      <c r="D30" s="1" t="s">
        <v>3</v>
      </c>
      <c r="E30" s="1" t="s">
        <v>111</v>
      </c>
      <c r="F30" s="1" t="s">
        <v>5</v>
      </c>
      <c r="G30" s="1" t="s">
        <v>13</v>
      </c>
      <c r="H30" s="1" t="s">
        <v>6</v>
      </c>
      <c r="I30" s="1" t="s">
        <v>16</v>
      </c>
      <c r="K30" s="10" t="s">
        <v>157</v>
      </c>
      <c r="L30" s="10" t="s">
        <v>156</v>
      </c>
    </row>
    <row r="31" spans="1:14">
      <c r="A31" t="s">
        <v>11</v>
      </c>
      <c r="B31">
        <f>COUNTIF(RAW_DATA!$M:$M,"On-site")</f>
        <v>202</v>
      </c>
      <c r="C31" s="9">
        <f>B31/230</f>
        <v>0.87826086956521743</v>
      </c>
      <c r="D31">
        <f>COUNTIFS(RAW_DATA!$M:$M,"On-site", RAW_DATA!$F:$F,"Bengaluru")</f>
        <v>69</v>
      </c>
      <c r="E31">
        <f>COUNTIFS(RAW_DATA!$M:$M,"On-site",
          RAW_DATA!$F:$F,"Delhi")
+COUNTIFS(RAW_DATA!$M:$M,"On-site",
          RAW_DATA!$F:$F,"Gurgaon")
+COUNTIFS(RAW_DATA!$M:$M,"On-site",
          RAW_DATA!$F:$F,"Noida")</f>
        <v>54</v>
      </c>
      <c r="F31">
        <f>COUNTIFS(RAW_DATA!$M:$M,"On-site",RAW_DATA!$F:$F,"Hyderabad")</f>
        <v>25</v>
      </c>
      <c r="G31">
        <f>COUNTIFS(RAW_DATA!$M:$M,"On-site",
          RAW_DATA!$F:$F,"Pune")</f>
        <v>24</v>
      </c>
      <c r="H31">
        <f>COUNTIFS(RAW_DATA!$M:$M,"On-site",
          RAW_DATA!$F:$F,"Mumbai")</f>
        <v>17</v>
      </c>
      <c r="I31">
        <f>COUNTIFS(RAW_DATA!$M:$M,"On-site", RAW_DATA!$F:$F,"Chennai")</f>
        <v>13</v>
      </c>
      <c r="K31" s="8" t="s">
        <v>2</v>
      </c>
      <c r="L31" s="9">
        <f>60/230</f>
        <v>0.2608695652173913</v>
      </c>
    </row>
    <row r="32" spans="1:14">
      <c r="A32" t="s">
        <v>20</v>
      </c>
      <c r="B32">
        <f>COUNTIF(RAW_DATA!$M:$M,"Remote")</f>
        <v>12</v>
      </c>
      <c r="C32" s="9">
        <f t="shared" ref="C32:C34" si="0">B32/230</f>
        <v>5.2173913043478258E-2</v>
      </c>
      <c r="D32">
        <f>COUNTIFS(RAW_DATA!$M:$M,"Remote",
          RAW_DATA!$F:$F,"Bengaluru")</f>
        <v>2</v>
      </c>
      <c r="E32">
        <f>COUNTIFS(RAW_DATA!$M:$M,"Remote",
          RAW_DATA!$F:$F,"Delhi")
+COUNTIFS(RAW_DATA!$M:$M,"Remote",
          RAW_DATA!$F:$F,"Gurgaon")
+COUNTIFS(RAW_DATA!$M:$M,"Remote",
          RAW_DATA!$F:$F,"Noida")</f>
        <v>1</v>
      </c>
      <c r="F32">
        <f>COUNTIFS(RAW_DATA!$M:$M,"Remote",RAW_DATA!$F:$F,"Hyderabad")</f>
        <v>0</v>
      </c>
      <c r="G32">
        <f>COUNTIFS(RAW_DATA!$M:$M,"Remote",
          RAW_DATA!$F:$F,"Pune")</f>
        <v>0</v>
      </c>
      <c r="H32">
        <f>COUNTIFS(RAW_DATA!$M:$M,"Remote",
          RAW_DATA!$F:$F,"Mumbai")</f>
        <v>0</v>
      </c>
      <c r="I32">
        <f>COUNTIFS(RAW_DATA!$M:$M,"Remote", RAW_DATA!$F:$F,"Chennai")</f>
        <v>0</v>
      </c>
      <c r="K32" s="8" t="s">
        <v>4</v>
      </c>
      <c r="L32" s="9">
        <f>58/230</f>
        <v>0.25217391304347825</v>
      </c>
    </row>
    <row r="33" spans="1:12">
      <c r="A33" t="s">
        <v>10</v>
      </c>
      <c r="B33">
        <f>COUNTIF(RAW_DATA!$M:$M,"Hybrid")</f>
        <v>11</v>
      </c>
      <c r="C33" s="9">
        <f t="shared" si="0"/>
        <v>4.7826086956521741E-2</v>
      </c>
      <c r="D33">
        <f>COUNTIFS(RAW_DATA!$M:$M,"Hybrid",
          RAW_DATA!$F:$F,"Bengaluru")</f>
        <v>5</v>
      </c>
      <c r="E33">
        <f>COUNTIFS(RAW_DATA!$M:$M,"Hybrid",
          RAW_DATA!$F:$F,"Delhi")
+COUNTIFS(RAW_DATA!$M:$M,"Hybrid",
          RAW_DATA!$F:$F,"Gurgaon")
+COUNTIFS(RAW_DATA!$M:$M,"Hybrid",
          RAW_DATA!$F:$F,"Noida")</f>
        <v>0</v>
      </c>
      <c r="F33">
        <f>COUNTIFS(RAW_DATA!$M:$M,"Hybrid",RAW_DATA!$F:$F,"Hyderabad")</f>
        <v>2</v>
      </c>
      <c r="G33">
        <f>COUNTIFS(RAW_DATA!$M:$M,"Hybrid",
          RAW_DATA!$F:$F,"Pune")</f>
        <v>0</v>
      </c>
      <c r="H33">
        <f>COUNTIFS(RAW_DATA!$M:$M,"Hybrid",
          RAW_DATA!$F:$F,"Mumbai")</f>
        <v>1</v>
      </c>
      <c r="I33">
        <f>COUNTIFS(RAW_DATA!$M:$M,"Hybrid", RAW_DATA!$F:$F,"Chennai")</f>
        <v>3</v>
      </c>
      <c r="K33" s="8" t="s">
        <v>8</v>
      </c>
      <c r="L33" s="9">
        <f>58/230</f>
        <v>0.25217391304347825</v>
      </c>
    </row>
    <row r="34" spans="1:12">
      <c r="A34" t="s">
        <v>69</v>
      </c>
      <c r="B34">
        <f>COUNTIF(RAW_DATA!$M:$M,"ND")</f>
        <v>4</v>
      </c>
      <c r="C34" s="9">
        <f t="shared" si="0"/>
        <v>1.7391304347826087E-2</v>
      </c>
      <c r="D34">
        <f>COUNTIFS(RAW_DATA!$M:$M,"ND",
          RAW_DATA!$F:$F,"Bengaluru")</f>
        <v>2</v>
      </c>
      <c r="E34">
        <f>COUNTIFS(RAW_DATA!$M:$M,"ND",
          RAW_DATA!$F:$F,"Delhi")
+COUNTIFS(RAW_DATA!$M:$M,"ND",
          RAW_DATA!$F:$F,"Gurgaon")
+COUNTIFS(RAW_DATA!$M:$M,"ND",
          RAW_DATA!$F:$F,"Noida")</f>
        <v>0</v>
      </c>
      <c r="F34">
        <f>COUNTIFS(RAW_DATA!$M:$M,"ND",RAW_DATA!$F:$F,"Hyderabad")</f>
        <v>1</v>
      </c>
      <c r="G34">
        <f>COUNTIFS(RAW_DATA!$M:$M,"ND",
          RAW_DATA!$F:$F,"Pune")</f>
        <v>0</v>
      </c>
      <c r="H34">
        <f>COUNTIFS(RAW_DATA!$M:$M,"ND",
          RAW_DATA!$F:$F,"Mumbai")</f>
        <v>1</v>
      </c>
      <c r="I34">
        <f>COUNTIFS(RAW_DATA!$M:$M,"ND", RAW_DATA!$F:$F,"Chennai")</f>
        <v>0</v>
      </c>
      <c r="K34" s="8" t="s">
        <v>9</v>
      </c>
      <c r="L34" s="9">
        <v>9.5652173913043481E-2</v>
      </c>
    </row>
    <row r="35" spans="1:12">
      <c r="K35" s="8" t="s">
        <v>7</v>
      </c>
      <c r="L35" s="9">
        <f>22/230</f>
        <v>9.5652173913043481E-2</v>
      </c>
    </row>
  </sheetData>
  <mergeCells count="7">
    <mergeCell ref="A29:I29"/>
    <mergeCell ref="A1:N2"/>
    <mergeCell ref="A5:F5"/>
    <mergeCell ref="A18:F18"/>
    <mergeCell ref="J5:N5"/>
    <mergeCell ref="J18:N18"/>
    <mergeCell ref="K29:N29"/>
  </mergeCells>
  <conditionalFormatting sqref="A18:F25">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1"/>
  <sheetViews>
    <sheetView showGridLines="0" zoomScale="98" zoomScaleNormal="98" workbookViewId="0">
      <selection activeCell="J18" sqref="J18"/>
    </sheetView>
  </sheetViews>
  <sheetFormatPr defaultRowHeight="14.4"/>
  <cols>
    <col min="4" max="4" width="9.5546875" customWidth="1"/>
    <col min="5" max="5" width="10.88671875" customWidth="1"/>
    <col min="6" max="6" width="9.77734375" customWidth="1"/>
    <col min="7" max="7" width="13.77734375" customWidth="1"/>
    <col min="8" max="8" width="13.33203125" customWidth="1"/>
    <col min="15" max="15" width="11.109375" customWidth="1"/>
    <col min="17" max="17" width="11.44140625" customWidth="1"/>
    <col min="18" max="18" width="10.33203125" customWidth="1"/>
    <col min="19" max="19" width="13.77734375" customWidth="1"/>
  </cols>
  <sheetData>
    <row r="1" spans="1:21" ht="25.8">
      <c r="A1" s="45" t="s">
        <v>151</v>
      </c>
      <c r="B1" s="45"/>
      <c r="C1" s="45"/>
      <c r="D1" s="45"/>
      <c r="E1" s="45"/>
      <c r="F1" s="45"/>
      <c r="G1" s="45"/>
      <c r="H1" s="45"/>
      <c r="I1" s="45"/>
      <c r="J1" s="45"/>
      <c r="K1" s="45"/>
      <c r="L1" s="45"/>
      <c r="M1" s="45"/>
      <c r="N1" s="45"/>
      <c r="O1" s="45"/>
      <c r="P1" s="45"/>
      <c r="Q1" s="45"/>
      <c r="R1" s="45"/>
      <c r="S1" s="45"/>
    </row>
    <row r="2" spans="1:21" ht="15.6">
      <c r="A2" s="46" t="s">
        <v>152</v>
      </c>
      <c r="B2" s="46"/>
      <c r="C2" s="46"/>
      <c r="D2" s="46"/>
      <c r="E2" s="46"/>
      <c r="F2" s="46"/>
      <c r="G2" s="46"/>
      <c r="H2" s="46"/>
      <c r="I2" s="46"/>
      <c r="J2" s="46"/>
      <c r="K2" s="46"/>
      <c r="L2" s="46"/>
      <c r="M2" s="46"/>
      <c r="N2" s="46"/>
      <c r="O2" s="46"/>
      <c r="P2" s="46"/>
      <c r="Q2" s="46"/>
      <c r="R2" s="46"/>
      <c r="S2" s="46"/>
    </row>
    <row r="3" spans="1:21">
      <c r="A3" s="47" t="s">
        <v>162</v>
      </c>
      <c r="B3" s="47"/>
      <c r="C3" s="47"/>
      <c r="D3" s="47"/>
      <c r="E3" s="47"/>
      <c r="F3" s="47"/>
      <c r="G3" s="47"/>
      <c r="H3" s="47"/>
      <c r="I3" s="47"/>
      <c r="J3" s="47"/>
      <c r="K3" s="47"/>
      <c r="L3" s="47"/>
      <c r="M3" s="47"/>
      <c r="N3" s="47"/>
      <c r="O3" s="47"/>
      <c r="P3" s="47"/>
      <c r="Q3" s="47"/>
      <c r="R3" s="47"/>
      <c r="S3" s="47"/>
    </row>
    <row r="4" spans="1:21">
      <c r="A4" s="37"/>
      <c r="B4" s="37"/>
      <c r="C4" s="37"/>
      <c r="D4" s="37"/>
      <c r="E4" s="37"/>
      <c r="F4" s="37"/>
      <c r="G4" s="37"/>
      <c r="H4" s="37"/>
      <c r="I4" s="37"/>
      <c r="J4" s="37"/>
      <c r="K4" s="37"/>
      <c r="L4" s="37"/>
      <c r="M4" s="37"/>
      <c r="N4" s="37"/>
      <c r="O4" s="37"/>
      <c r="P4" s="37"/>
      <c r="Q4" s="37"/>
      <c r="R4" s="37"/>
      <c r="S4" s="37"/>
    </row>
    <row r="5" spans="1:21" ht="18">
      <c r="A5" s="48" t="s">
        <v>153</v>
      </c>
      <c r="B5" s="48"/>
      <c r="C5" s="48"/>
      <c r="D5" s="48"/>
      <c r="E5" s="48"/>
      <c r="F5" s="48"/>
      <c r="G5" s="48"/>
      <c r="H5" s="48"/>
      <c r="I5" s="48"/>
      <c r="J5" s="48"/>
      <c r="K5" s="48"/>
      <c r="L5" s="48"/>
      <c r="M5" s="48"/>
      <c r="N5" s="48"/>
      <c r="O5" s="48"/>
      <c r="P5" s="48"/>
      <c r="Q5" s="48"/>
      <c r="R5" s="48"/>
      <c r="S5" s="48"/>
    </row>
    <row r="6" spans="1:21">
      <c r="A6" s="39" t="s">
        <v>167</v>
      </c>
      <c r="B6" s="40"/>
      <c r="C6" s="40"/>
      <c r="D6" s="40"/>
      <c r="E6" s="40"/>
      <c r="F6" s="40"/>
      <c r="G6" s="40"/>
      <c r="H6" s="40"/>
      <c r="I6" s="40"/>
      <c r="J6" s="40"/>
      <c r="K6" s="40"/>
      <c r="L6" s="40"/>
      <c r="M6" s="40"/>
      <c r="N6" s="40"/>
      <c r="O6" s="40"/>
      <c r="P6" s="40"/>
      <c r="Q6" s="40"/>
      <c r="R6" s="40"/>
      <c r="S6" s="40"/>
    </row>
    <row r="7" spans="1:21">
      <c r="A7" s="40"/>
      <c r="B7" s="40"/>
      <c r="C7" s="40"/>
      <c r="D7" s="40"/>
      <c r="E7" s="40"/>
      <c r="F7" s="40"/>
      <c r="G7" s="40"/>
      <c r="H7" s="40"/>
      <c r="I7" s="40"/>
      <c r="J7" s="40"/>
      <c r="K7" s="40"/>
      <c r="L7" s="40"/>
      <c r="M7" s="40"/>
      <c r="N7" s="40"/>
      <c r="O7" s="40"/>
      <c r="P7" s="40"/>
      <c r="Q7" s="40"/>
      <c r="R7" s="40"/>
      <c r="S7" s="40"/>
    </row>
    <row r="8" spans="1:21">
      <c r="A8" s="40"/>
      <c r="B8" s="40"/>
      <c r="C8" s="40"/>
      <c r="D8" s="40"/>
      <c r="E8" s="40"/>
      <c r="F8" s="40"/>
      <c r="G8" s="40"/>
      <c r="H8" s="40"/>
      <c r="I8" s="40"/>
      <c r="J8" s="40"/>
      <c r="K8" s="40"/>
      <c r="L8" s="40"/>
      <c r="M8" s="40"/>
      <c r="N8" s="40"/>
      <c r="O8" s="40"/>
      <c r="P8" s="40"/>
      <c r="Q8" s="40"/>
      <c r="R8" s="40"/>
      <c r="S8" s="40"/>
    </row>
    <row r="9" spans="1:21">
      <c r="A9" s="40"/>
      <c r="B9" s="40"/>
      <c r="C9" s="40"/>
      <c r="D9" s="40"/>
      <c r="E9" s="40"/>
      <c r="F9" s="40"/>
      <c r="G9" s="40"/>
      <c r="H9" s="40"/>
      <c r="I9" s="40"/>
      <c r="J9" s="40"/>
      <c r="K9" s="40"/>
      <c r="L9" s="40"/>
      <c r="M9" s="40"/>
      <c r="N9" s="40"/>
      <c r="O9" s="40"/>
      <c r="P9" s="40"/>
      <c r="Q9" s="40"/>
      <c r="R9" s="40"/>
      <c r="S9" s="40"/>
    </row>
    <row r="10" spans="1:21">
      <c r="A10" s="40"/>
      <c r="B10" s="40"/>
      <c r="C10" s="40"/>
      <c r="D10" s="40"/>
      <c r="E10" s="40"/>
      <c r="F10" s="40"/>
      <c r="G10" s="40"/>
      <c r="H10" s="40"/>
      <c r="I10" s="40"/>
      <c r="J10" s="40"/>
      <c r="K10" s="40"/>
      <c r="L10" s="40"/>
      <c r="M10" s="40"/>
      <c r="N10" s="40"/>
      <c r="O10" s="40"/>
      <c r="P10" s="40"/>
      <c r="Q10" s="40"/>
      <c r="R10" s="40"/>
      <c r="S10" s="40"/>
    </row>
    <row r="11" spans="1:21">
      <c r="A11" s="37"/>
      <c r="B11" s="37"/>
      <c r="C11" s="37"/>
      <c r="D11" s="37"/>
      <c r="E11" s="37"/>
      <c r="F11" s="37"/>
      <c r="G11" s="37"/>
      <c r="H11" s="37"/>
      <c r="I11" s="37"/>
      <c r="J11" s="37"/>
      <c r="K11" s="37"/>
      <c r="L11" s="37"/>
      <c r="M11" s="37"/>
      <c r="N11" s="37"/>
      <c r="O11" s="37"/>
      <c r="P11" s="37"/>
      <c r="Q11" s="37"/>
      <c r="R11" s="37"/>
      <c r="S11" s="37"/>
    </row>
    <row r="12" spans="1:21" ht="18">
      <c r="A12" s="41" t="s">
        <v>154</v>
      </c>
      <c r="B12" s="41"/>
      <c r="C12" s="41"/>
      <c r="D12" s="41"/>
      <c r="E12" s="41"/>
      <c r="F12" s="41"/>
      <c r="G12" s="41"/>
      <c r="H12" s="41"/>
      <c r="I12" s="41"/>
      <c r="J12" s="41"/>
      <c r="K12" s="41"/>
      <c r="L12" s="41"/>
      <c r="M12" s="41"/>
      <c r="N12" s="41"/>
      <c r="O12" s="41"/>
      <c r="P12" s="41"/>
      <c r="Q12" s="41"/>
      <c r="R12" s="41"/>
      <c r="S12" s="41"/>
      <c r="U12" s="6"/>
    </row>
    <row r="13" spans="1:21" ht="18">
      <c r="A13" s="12"/>
      <c r="B13" s="12"/>
      <c r="C13" s="12"/>
      <c r="D13" s="12"/>
      <c r="E13" s="12"/>
      <c r="F13" s="12"/>
      <c r="G13" s="12"/>
      <c r="H13" s="12"/>
      <c r="I13" s="12"/>
      <c r="J13" s="12"/>
      <c r="K13" s="12"/>
      <c r="L13" s="12"/>
      <c r="M13" s="12"/>
      <c r="N13" s="12"/>
      <c r="O13" s="12"/>
      <c r="P13" s="12"/>
      <c r="Q13" s="12"/>
      <c r="R13" s="12"/>
      <c r="S13" s="12"/>
    </row>
    <row r="14" spans="1:21" ht="15.6">
      <c r="A14" s="42" t="s">
        <v>163</v>
      </c>
      <c r="B14" s="42"/>
      <c r="C14" s="42"/>
      <c r="D14" s="42"/>
      <c r="E14" s="42"/>
      <c r="F14" s="42"/>
      <c r="G14" s="42"/>
      <c r="H14" s="42"/>
      <c r="L14" s="43" t="s">
        <v>158</v>
      </c>
      <c r="M14" s="44"/>
      <c r="N14" s="44"/>
      <c r="O14" s="44"/>
      <c r="P14" s="44"/>
      <c r="Q14" s="44"/>
      <c r="R14" s="44"/>
      <c r="S14" s="44"/>
    </row>
    <row r="15" spans="1:21">
      <c r="A15" s="31" t="s">
        <v>170</v>
      </c>
      <c r="B15" s="31"/>
      <c r="C15" s="31"/>
      <c r="D15" s="31"/>
      <c r="E15" s="31"/>
      <c r="F15" s="31"/>
      <c r="G15" s="31"/>
      <c r="H15" s="31"/>
      <c r="L15" s="31" t="s">
        <v>169</v>
      </c>
      <c r="M15" s="32"/>
      <c r="N15" s="32"/>
      <c r="O15" s="32"/>
      <c r="P15" s="32"/>
      <c r="Q15" s="32"/>
      <c r="R15" s="32"/>
      <c r="S15" s="32"/>
    </row>
    <row r="16" spans="1:21">
      <c r="A16" s="31"/>
      <c r="B16" s="31"/>
      <c r="C16" s="31"/>
      <c r="D16" s="31"/>
      <c r="E16" s="31"/>
      <c r="F16" s="31"/>
      <c r="G16" s="31"/>
      <c r="H16" s="31"/>
      <c r="L16" s="32"/>
      <c r="M16" s="32"/>
      <c r="N16" s="32"/>
      <c r="O16" s="32"/>
      <c r="P16" s="32"/>
      <c r="Q16" s="32"/>
      <c r="R16" s="32"/>
      <c r="S16" s="32"/>
    </row>
    <row r="17" spans="1:19">
      <c r="A17" s="31"/>
      <c r="B17" s="31"/>
      <c r="C17" s="31"/>
      <c r="D17" s="31"/>
      <c r="E17" s="31"/>
      <c r="F17" s="31"/>
      <c r="G17" s="31"/>
      <c r="H17" s="31"/>
      <c r="L17" s="32"/>
      <c r="M17" s="32"/>
      <c r="N17" s="32"/>
      <c r="O17" s="32"/>
      <c r="P17" s="32"/>
      <c r="Q17" s="32"/>
      <c r="R17" s="32"/>
      <c r="S17" s="32"/>
    </row>
    <row r="18" spans="1:19">
      <c r="A18" s="31"/>
      <c r="B18" s="31"/>
      <c r="C18" s="31"/>
      <c r="D18" s="31"/>
      <c r="E18" s="31"/>
      <c r="F18" s="31"/>
      <c r="G18" s="31"/>
      <c r="H18" s="31"/>
      <c r="L18" s="32"/>
      <c r="M18" s="32"/>
      <c r="N18" s="32"/>
      <c r="O18" s="32"/>
      <c r="P18" s="32"/>
      <c r="Q18" s="32"/>
      <c r="R18" s="32"/>
      <c r="S18" s="32"/>
    </row>
    <row r="19" spans="1:19">
      <c r="A19" s="31"/>
      <c r="B19" s="31"/>
      <c r="C19" s="31"/>
      <c r="D19" s="31"/>
      <c r="E19" s="31"/>
      <c r="F19" s="31"/>
      <c r="G19" s="31"/>
      <c r="H19" s="31"/>
      <c r="L19" s="32"/>
      <c r="M19" s="32"/>
      <c r="N19" s="32"/>
      <c r="O19" s="32"/>
      <c r="P19" s="32"/>
      <c r="Q19" s="32"/>
      <c r="R19" s="32"/>
      <c r="S19" s="32"/>
    </row>
    <row r="20" spans="1:19">
      <c r="A20" s="31"/>
      <c r="B20" s="31"/>
      <c r="C20" s="31"/>
      <c r="D20" s="31"/>
      <c r="E20" s="31"/>
      <c r="F20" s="31"/>
      <c r="G20" s="31"/>
      <c r="H20" s="31"/>
    </row>
    <row r="23" spans="1:19" ht="15.6">
      <c r="A23" s="34" t="s">
        <v>159</v>
      </c>
      <c r="B23" s="34"/>
      <c r="C23" s="34"/>
      <c r="D23" s="34"/>
      <c r="E23" s="34"/>
      <c r="F23" s="34"/>
      <c r="G23" s="34"/>
      <c r="H23" s="34"/>
      <c r="L23" s="33" t="s">
        <v>164</v>
      </c>
      <c r="M23" s="33"/>
      <c r="N23" s="33"/>
      <c r="O23" s="33"/>
      <c r="P23" s="33"/>
      <c r="Q23" s="33"/>
      <c r="R23" s="33"/>
      <c r="S23" s="33"/>
    </row>
    <row r="24" spans="1:19">
      <c r="A24" s="31" t="s">
        <v>171</v>
      </c>
      <c r="B24" s="32"/>
      <c r="C24" s="32"/>
      <c r="D24" s="32"/>
      <c r="E24" s="32"/>
      <c r="F24" s="32"/>
      <c r="G24" s="32"/>
      <c r="H24" s="32"/>
      <c r="L24" s="31" t="s">
        <v>172</v>
      </c>
      <c r="M24" s="32"/>
      <c r="N24" s="32"/>
      <c r="O24" s="32"/>
      <c r="P24" s="32"/>
      <c r="Q24" s="32"/>
      <c r="R24" s="32"/>
      <c r="S24" s="32"/>
    </row>
    <row r="25" spans="1:19">
      <c r="A25" s="32"/>
      <c r="B25" s="32"/>
      <c r="C25" s="32"/>
      <c r="D25" s="32"/>
      <c r="E25" s="32"/>
      <c r="F25" s="32"/>
      <c r="G25" s="32"/>
      <c r="H25" s="32"/>
      <c r="L25" s="32"/>
      <c r="M25" s="32"/>
      <c r="N25" s="32"/>
      <c r="O25" s="32"/>
      <c r="P25" s="32"/>
      <c r="Q25" s="32"/>
      <c r="R25" s="32"/>
      <c r="S25" s="32"/>
    </row>
    <row r="26" spans="1:19">
      <c r="A26" s="32"/>
      <c r="B26" s="32"/>
      <c r="C26" s="32"/>
      <c r="D26" s="32"/>
      <c r="E26" s="32"/>
      <c r="F26" s="32"/>
      <c r="G26" s="32"/>
      <c r="H26" s="32"/>
      <c r="L26" s="32"/>
      <c r="M26" s="32"/>
      <c r="N26" s="32"/>
      <c r="O26" s="32"/>
      <c r="P26" s="32"/>
      <c r="Q26" s="32"/>
      <c r="R26" s="32"/>
      <c r="S26" s="32"/>
    </row>
    <row r="27" spans="1:19">
      <c r="A27" s="32"/>
      <c r="B27" s="32"/>
      <c r="C27" s="32"/>
      <c r="D27" s="32"/>
      <c r="E27" s="32"/>
      <c r="F27" s="32"/>
      <c r="G27" s="32"/>
      <c r="H27" s="32"/>
      <c r="L27" s="32"/>
      <c r="M27" s="32"/>
      <c r="N27" s="32"/>
      <c r="O27" s="32"/>
      <c r="P27" s="32"/>
      <c r="Q27" s="32"/>
      <c r="R27" s="32"/>
      <c r="S27" s="32"/>
    </row>
    <row r="28" spans="1:19">
      <c r="A28" s="32"/>
      <c r="B28" s="32"/>
      <c r="C28" s="32"/>
      <c r="D28" s="32"/>
      <c r="E28" s="32"/>
      <c r="F28" s="32"/>
      <c r="G28" s="32"/>
      <c r="H28" s="32"/>
      <c r="L28" s="32"/>
      <c r="M28" s="32"/>
      <c r="N28" s="32"/>
      <c r="O28" s="32"/>
      <c r="P28" s="32"/>
      <c r="Q28" s="32"/>
      <c r="R28" s="32"/>
      <c r="S28" s="32"/>
    </row>
    <row r="29" spans="1:19">
      <c r="A29" s="32"/>
      <c r="B29" s="32"/>
      <c r="C29" s="32"/>
      <c r="D29" s="32"/>
      <c r="E29" s="32"/>
      <c r="F29" s="32"/>
      <c r="G29" s="32"/>
      <c r="H29" s="32"/>
      <c r="L29" s="32"/>
      <c r="M29" s="32"/>
      <c r="N29" s="32"/>
      <c r="O29" s="32"/>
      <c r="P29" s="32"/>
      <c r="Q29" s="32"/>
      <c r="R29" s="32"/>
      <c r="S29" s="32"/>
    </row>
    <row r="30" spans="1:19">
      <c r="A30" s="32"/>
      <c r="B30" s="32"/>
      <c r="C30" s="32"/>
      <c r="D30" s="32"/>
      <c r="E30" s="32"/>
      <c r="F30" s="32"/>
      <c r="G30" s="32"/>
      <c r="H30" s="32"/>
      <c r="L30" s="32"/>
      <c r="M30" s="32"/>
      <c r="N30" s="32"/>
      <c r="O30" s="32"/>
      <c r="P30" s="32"/>
      <c r="Q30" s="32"/>
      <c r="R30" s="32"/>
      <c r="S30" s="32"/>
    </row>
    <row r="31" spans="1:19">
      <c r="A31" s="32"/>
      <c r="B31" s="32"/>
      <c r="C31" s="32"/>
      <c r="D31" s="32"/>
      <c r="E31" s="32"/>
      <c r="F31" s="32"/>
      <c r="G31" s="32"/>
      <c r="H31" s="32"/>
      <c r="L31" s="32"/>
      <c r="M31" s="32"/>
      <c r="N31" s="32"/>
      <c r="O31" s="32"/>
      <c r="P31" s="32"/>
      <c r="Q31" s="32"/>
      <c r="R31" s="32"/>
      <c r="S31" s="32"/>
    </row>
    <row r="32" spans="1:19">
      <c r="A32" s="32"/>
      <c r="B32" s="32"/>
      <c r="C32" s="32"/>
      <c r="D32" s="32"/>
      <c r="E32" s="32"/>
      <c r="F32" s="32"/>
      <c r="G32" s="32"/>
      <c r="H32" s="32"/>
      <c r="J32" s="13"/>
      <c r="L32" s="32"/>
      <c r="M32" s="32"/>
      <c r="N32" s="32"/>
      <c r="O32" s="32"/>
      <c r="P32" s="32"/>
      <c r="Q32" s="32"/>
      <c r="R32" s="32"/>
      <c r="S32" s="32"/>
    </row>
    <row r="33" spans="1:20">
      <c r="A33" s="32"/>
      <c r="B33" s="32"/>
      <c r="C33" s="32"/>
      <c r="D33" s="32"/>
      <c r="E33" s="32"/>
      <c r="F33" s="32"/>
      <c r="G33" s="32"/>
      <c r="H33" s="32"/>
      <c r="L33" s="32"/>
      <c r="M33" s="32"/>
      <c r="N33" s="32"/>
      <c r="O33" s="32"/>
      <c r="P33" s="32"/>
      <c r="Q33" s="32"/>
      <c r="R33" s="32"/>
      <c r="S33" s="32"/>
    </row>
    <row r="36" spans="1:20" ht="15.6">
      <c r="A36" s="29" t="s">
        <v>165</v>
      </c>
      <c r="B36" s="29"/>
      <c r="C36" s="29"/>
      <c r="D36" s="29"/>
      <c r="E36" s="29"/>
      <c r="F36" s="29"/>
      <c r="G36" s="29"/>
      <c r="H36" s="29"/>
      <c r="L36" s="30" t="s">
        <v>166</v>
      </c>
      <c r="M36" s="30"/>
      <c r="N36" s="30"/>
      <c r="O36" s="30"/>
      <c r="P36" s="30"/>
      <c r="Q36" s="30"/>
      <c r="R36" s="30"/>
      <c r="S36" s="30"/>
    </row>
    <row r="37" spans="1:20">
      <c r="A37" s="31" t="s">
        <v>174</v>
      </c>
      <c r="B37" s="32"/>
      <c r="C37" s="32"/>
      <c r="D37" s="32"/>
      <c r="E37" s="32"/>
      <c r="F37" s="32"/>
      <c r="G37" s="32"/>
      <c r="H37" s="32"/>
      <c r="L37" s="31" t="s">
        <v>173</v>
      </c>
      <c r="M37" s="32"/>
      <c r="N37" s="32"/>
      <c r="O37" s="32"/>
      <c r="P37" s="32"/>
      <c r="Q37" s="32"/>
      <c r="R37" s="32"/>
      <c r="S37" s="32"/>
    </row>
    <row r="38" spans="1:20">
      <c r="A38" s="32"/>
      <c r="B38" s="32"/>
      <c r="C38" s="32"/>
      <c r="D38" s="32"/>
      <c r="E38" s="32"/>
      <c r="F38" s="32"/>
      <c r="G38" s="32"/>
      <c r="H38" s="32"/>
      <c r="L38" s="32"/>
      <c r="M38" s="32"/>
      <c r="N38" s="32"/>
      <c r="O38" s="32"/>
      <c r="P38" s="32"/>
      <c r="Q38" s="32"/>
      <c r="R38" s="32"/>
      <c r="S38" s="32"/>
    </row>
    <row r="39" spans="1:20">
      <c r="A39" s="32"/>
      <c r="B39" s="32"/>
      <c r="C39" s="32"/>
      <c r="D39" s="32"/>
      <c r="E39" s="32"/>
      <c r="F39" s="32"/>
      <c r="G39" s="32"/>
      <c r="H39" s="32"/>
      <c r="L39" s="32"/>
      <c r="M39" s="32"/>
      <c r="N39" s="32"/>
      <c r="O39" s="32"/>
      <c r="P39" s="32"/>
      <c r="Q39" s="32"/>
      <c r="R39" s="32"/>
      <c r="S39" s="32"/>
    </row>
    <row r="40" spans="1:20">
      <c r="A40" s="32"/>
      <c r="B40" s="32"/>
      <c r="C40" s="32"/>
      <c r="D40" s="32"/>
      <c r="E40" s="32"/>
      <c r="F40" s="32"/>
      <c r="G40" s="32"/>
      <c r="H40" s="32"/>
      <c r="L40" s="32"/>
      <c r="M40" s="32"/>
      <c r="N40" s="32"/>
      <c r="O40" s="32"/>
      <c r="P40" s="32"/>
      <c r="Q40" s="32"/>
      <c r="R40" s="32"/>
      <c r="S40" s="32"/>
    </row>
    <row r="41" spans="1:20">
      <c r="A41" s="32"/>
      <c r="B41" s="32"/>
      <c r="C41" s="32"/>
      <c r="D41" s="32"/>
      <c r="E41" s="32"/>
      <c r="F41" s="32"/>
      <c r="G41" s="32"/>
      <c r="H41" s="32"/>
      <c r="L41" s="32"/>
      <c r="M41" s="32"/>
      <c r="N41" s="32"/>
      <c r="O41" s="32"/>
      <c r="P41" s="32"/>
      <c r="Q41" s="32"/>
      <c r="R41" s="32"/>
      <c r="S41" s="32"/>
    </row>
    <row r="42" spans="1:20">
      <c r="A42" s="32"/>
      <c r="B42" s="32"/>
      <c r="C42" s="32"/>
      <c r="D42" s="32"/>
      <c r="E42" s="32"/>
      <c r="F42" s="32"/>
      <c r="G42" s="32"/>
      <c r="H42" s="32"/>
      <c r="L42" s="32"/>
      <c r="M42" s="32"/>
      <c r="N42" s="32"/>
      <c r="O42" s="32"/>
      <c r="P42" s="32"/>
      <c r="Q42" s="32"/>
      <c r="R42" s="32"/>
      <c r="S42" s="32"/>
    </row>
    <row r="43" spans="1:20">
      <c r="A43" s="32"/>
      <c r="B43" s="32"/>
      <c r="C43" s="32"/>
      <c r="D43" s="32"/>
      <c r="E43" s="32"/>
      <c r="F43" s="32"/>
      <c r="G43" s="32"/>
      <c r="H43" s="32"/>
      <c r="L43" s="32"/>
      <c r="M43" s="32"/>
      <c r="N43" s="32"/>
      <c r="O43" s="32"/>
      <c r="P43" s="32"/>
      <c r="Q43" s="32"/>
      <c r="R43" s="32"/>
      <c r="S43" s="32"/>
    </row>
    <row r="44" spans="1:20">
      <c r="L44" s="32"/>
      <c r="M44" s="32"/>
      <c r="N44" s="32"/>
      <c r="O44" s="32"/>
      <c r="P44" s="32"/>
      <c r="Q44" s="32"/>
      <c r="R44" s="32"/>
      <c r="S44" s="32"/>
    </row>
    <row r="45" spans="1:20">
      <c r="T45" s="2"/>
    </row>
    <row r="47" spans="1:20" ht="18">
      <c r="A47" s="38" t="s">
        <v>160</v>
      </c>
      <c r="B47" s="38"/>
      <c r="C47" s="38"/>
      <c r="D47" s="38"/>
      <c r="E47" s="38"/>
      <c r="F47" s="38"/>
      <c r="G47" s="38"/>
      <c r="H47" s="38"/>
      <c r="I47" s="38"/>
      <c r="J47" s="38"/>
      <c r="K47" s="38"/>
      <c r="L47" s="38"/>
      <c r="M47" s="38"/>
      <c r="N47" s="38"/>
      <c r="O47" s="38"/>
      <c r="P47" s="38"/>
      <c r="Q47" s="38"/>
      <c r="R47" s="38"/>
      <c r="S47" s="38"/>
    </row>
    <row r="48" spans="1:20">
      <c r="A48" s="36" t="s">
        <v>175</v>
      </c>
      <c r="B48" s="37"/>
      <c r="C48" s="37"/>
      <c r="D48" s="37"/>
      <c r="E48" s="37"/>
      <c r="F48" s="37"/>
      <c r="G48" s="37"/>
      <c r="H48" s="37"/>
      <c r="I48" s="37"/>
      <c r="J48" s="37"/>
      <c r="K48" s="37"/>
      <c r="L48" s="37"/>
      <c r="M48" s="37"/>
      <c r="N48" s="37"/>
      <c r="O48" s="37"/>
      <c r="P48" s="37"/>
      <c r="Q48" s="37"/>
      <c r="R48" s="37"/>
      <c r="S48" s="37"/>
    </row>
    <row r="49" spans="1:19">
      <c r="A49" s="37"/>
      <c r="B49" s="37"/>
      <c r="C49" s="37"/>
      <c r="D49" s="37"/>
      <c r="E49" s="37"/>
      <c r="F49" s="37"/>
      <c r="G49" s="37"/>
      <c r="H49" s="37"/>
      <c r="I49" s="37"/>
      <c r="J49" s="37"/>
      <c r="K49" s="37"/>
      <c r="L49" s="37"/>
      <c r="M49" s="37"/>
      <c r="N49" s="37"/>
      <c r="O49" s="37"/>
      <c r="P49" s="37"/>
      <c r="Q49" s="37"/>
      <c r="R49" s="37"/>
      <c r="S49" s="37"/>
    </row>
    <row r="50" spans="1:19">
      <c r="A50" s="37"/>
      <c r="B50" s="37"/>
      <c r="C50" s="37"/>
      <c r="D50" s="37"/>
      <c r="E50" s="37"/>
      <c r="F50" s="37"/>
      <c r="G50" s="37"/>
      <c r="H50" s="37"/>
      <c r="I50" s="37"/>
      <c r="J50" s="37"/>
      <c r="K50" s="37"/>
      <c r="L50" s="37"/>
      <c r="M50" s="37"/>
      <c r="N50" s="37"/>
      <c r="O50" s="37"/>
      <c r="P50" s="37"/>
      <c r="Q50" s="37"/>
      <c r="R50" s="37"/>
      <c r="S50" s="37"/>
    </row>
    <row r="51" spans="1:19">
      <c r="A51" s="37"/>
      <c r="B51" s="37"/>
      <c r="C51" s="37"/>
      <c r="D51" s="37"/>
      <c r="E51" s="37"/>
      <c r="F51" s="37"/>
      <c r="G51" s="37"/>
      <c r="H51" s="37"/>
      <c r="I51" s="37"/>
      <c r="J51" s="37"/>
      <c r="K51" s="37"/>
      <c r="L51" s="37"/>
      <c r="M51" s="37"/>
      <c r="N51" s="37"/>
      <c r="O51" s="37"/>
      <c r="P51" s="37"/>
      <c r="Q51" s="37"/>
      <c r="R51" s="37"/>
      <c r="S51" s="37"/>
    </row>
    <row r="52" spans="1:19">
      <c r="A52" s="37"/>
      <c r="B52" s="37"/>
      <c r="C52" s="37"/>
      <c r="D52" s="37"/>
      <c r="E52" s="37"/>
      <c r="F52" s="37"/>
      <c r="G52" s="37"/>
      <c r="H52" s="37"/>
      <c r="I52" s="37"/>
      <c r="J52" s="37"/>
      <c r="K52" s="37"/>
      <c r="L52" s="37"/>
      <c r="M52" s="37"/>
      <c r="N52" s="37"/>
      <c r="O52" s="37"/>
      <c r="P52" s="37"/>
      <c r="Q52" s="37"/>
      <c r="R52" s="37"/>
      <c r="S52" s="37"/>
    </row>
    <row r="53" spans="1:19">
      <c r="A53" s="37"/>
      <c r="B53" s="37"/>
      <c r="C53" s="37"/>
      <c r="D53" s="37"/>
      <c r="E53" s="37"/>
      <c r="F53" s="37"/>
      <c r="G53" s="37"/>
      <c r="H53" s="37"/>
      <c r="I53" s="37"/>
      <c r="J53" s="37"/>
      <c r="K53" s="37"/>
      <c r="L53" s="37"/>
      <c r="M53" s="37"/>
      <c r="N53" s="37"/>
      <c r="O53" s="37"/>
      <c r="P53" s="37"/>
      <c r="Q53" s="37"/>
      <c r="R53" s="37"/>
      <c r="S53" s="37"/>
    </row>
    <row r="56" spans="1:19" ht="18">
      <c r="A56" s="35" t="s">
        <v>161</v>
      </c>
      <c r="B56" s="35"/>
      <c r="C56" s="35"/>
      <c r="D56" s="35"/>
      <c r="E56" s="35"/>
      <c r="F56" s="35"/>
      <c r="G56" s="35"/>
      <c r="H56" s="35"/>
      <c r="I56" s="35"/>
      <c r="J56" s="35"/>
      <c r="K56" s="35"/>
      <c r="L56" s="35"/>
      <c r="M56" s="35"/>
      <c r="N56" s="35"/>
      <c r="O56" s="35"/>
      <c r="P56" s="35"/>
      <c r="Q56" s="35"/>
      <c r="R56" s="35"/>
      <c r="S56" s="35"/>
    </row>
    <row r="57" spans="1:19">
      <c r="A57" s="31" t="s">
        <v>168</v>
      </c>
      <c r="B57" s="32"/>
      <c r="C57" s="32"/>
      <c r="D57" s="32"/>
      <c r="E57" s="32"/>
      <c r="F57" s="32"/>
      <c r="G57" s="32"/>
      <c r="H57" s="32"/>
      <c r="I57" s="32"/>
      <c r="J57" s="32"/>
      <c r="K57" s="32"/>
      <c r="L57" s="32"/>
      <c r="M57" s="32"/>
      <c r="N57" s="32"/>
      <c r="O57" s="32"/>
      <c r="P57" s="32"/>
      <c r="Q57" s="32"/>
      <c r="R57" s="32"/>
      <c r="S57" s="32"/>
    </row>
    <row r="58" spans="1:19">
      <c r="A58" s="32"/>
      <c r="B58" s="32"/>
      <c r="C58" s="32"/>
      <c r="D58" s="32"/>
      <c r="E58" s="32"/>
      <c r="F58" s="32"/>
      <c r="G58" s="32"/>
      <c r="H58" s="32"/>
      <c r="I58" s="32"/>
      <c r="J58" s="32"/>
      <c r="K58" s="32"/>
      <c r="L58" s="32"/>
      <c r="M58" s="32"/>
      <c r="N58" s="32"/>
      <c r="O58" s="32"/>
      <c r="P58" s="32"/>
      <c r="Q58" s="32"/>
      <c r="R58" s="32"/>
      <c r="S58" s="32"/>
    </row>
    <row r="59" spans="1:19">
      <c r="A59" s="32"/>
      <c r="B59" s="32"/>
      <c r="C59" s="32"/>
      <c r="D59" s="32"/>
      <c r="E59" s="32"/>
      <c r="F59" s="32"/>
      <c r="G59" s="32"/>
      <c r="H59" s="32"/>
      <c r="I59" s="32"/>
      <c r="J59" s="32"/>
      <c r="K59" s="32"/>
      <c r="L59" s="32"/>
      <c r="M59" s="32"/>
      <c r="N59" s="32"/>
      <c r="O59" s="32"/>
      <c r="P59" s="32"/>
      <c r="Q59" s="32"/>
      <c r="R59" s="32"/>
      <c r="S59" s="32"/>
    </row>
    <row r="60" spans="1:19">
      <c r="A60" s="32"/>
      <c r="B60" s="32"/>
      <c r="C60" s="32"/>
      <c r="D60" s="32"/>
      <c r="E60" s="32"/>
      <c r="F60" s="32"/>
      <c r="G60" s="32"/>
      <c r="H60" s="32"/>
      <c r="I60" s="32"/>
      <c r="J60" s="32"/>
      <c r="K60" s="32"/>
      <c r="L60" s="32"/>
      <c r="M60" s="32"/>
      <c r="N60" s="32"/>
      <c r="O60" s="32"/>
      <c r="P60" s="32"/>
      <c r="Q60" s="32"/>
      <c r="R60" s="32"/>
      <c r="S60" s="32"/>
    </row>
    <row r="61" spans="1:19">
      <c r="A61" s="32"/>
      <c r="B61" s="32"/>
      <c r="C61" s="32"/>
      <c r="D61" s="32"/>
      <c r="E61" s="32"/>
      <c r="F61" s="32"/>
      <c r="G61" s="32"/>
      <c r="H61" s="32"/>
      <c r="I61" s="32"/>
      <c r="J61" s="32"/>
      <c r="K61" s="32"/>
      <c r="L61" s="32"/>
      <c r="M61" s="32"/>
      <c r="N61" s="32"/>
      <c r="O61" s="32"/>
      <c r="P61" s="32"/>
      <c r="Q61" s="32"/>
      <c r="R61" s="32"/>
      <c r="S61" s="32"/>
    </row>
  </sheetData>
  <mergeCells count="24">
    <mergeCell ref="A1:S1"/>
    <mergeCell ref="A2:S2"/>
    <mergeCell ref="A3:S3"/>
    <mergeCell ref="A4:S4"/>
    <mergeCell ref="A5:S5"/>
    <mergeCell ref="A6:S10"/>
    <mergeCell ref="A12:S12"/>
    <mergeCell ref="A14:H14"/>
    <mergeCell ref="L14:S14"/>
    <mergeCell ref="L15:S19"/>
    <mergeCell ref="A15:H20"/>
    <mergeCell ref="A11:S11"/>
    <mergeCell ref="A57:S61"/>
    <mergeCell ref="A56:S56"/>
    <mergeCell ref="A48:S53"/>
    <mergeCell ref="A47:S47"/>
    <mergeCell ref="L37:S44"/>
    <mergeCell ref="A37:H43"/>
    <mergeCell ref="A36:H36"/>
    <mergeCell ref="L36:S36"/>
    <mergeCell ref="A24:H33"/>
    <mergeCell ref="L24:S33"/>
    <mergeCell ref="L23:S23"/>
    <mergeCell ref="A23:H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7"/>
  <sheetViews>
    <sheetView showGridLines="0" showRowColHeaders="0" tabSelected="1" topLeftCell="A32" zoomScale="98" zoomScaleNormal="98" workbookViewId="0">
      <selection activeCell="R53" sqref="R53"/>
    </sheetView>
  </sheetViews>
  <sheetFormatPr defaultRowHeight="14.4"/>
  <cols>
    <col min="21" max="24" width="8.88671875" hidden="1" customWidth="1"/>
  </cols>
  <sheetData>
    <row r="1" spans="1:23" ht="23.4">
      <c r="A1" s="51" t="s">
        <v>176</v>
      </c>
      <c r="B1" s="51"/>
      <c r="C1" s="51"/>
      <c r="D1" s="51"/>
      <c r="E1" s="51"/>
      <c r="F1" s="51"/>
      <c r="G1" s="51"/>
      <c r="H1" s="51"/>
      <c r="I1" s="51"/>
      <c r="J1" s="51"/>
      <c r="K1" s="51"/>
      <c r="L1" s="51"/>
      <c r="M1" s="51"/>
      <c r="N1" s="51"/>
      <c r="O1" s="51"/>
      <c r="P1" s="51"/>
      <c r="Q1" s="51"/>
      <c r="R1" s="51"/>
      <c r="S1" s="51"/>
      <c r="U1" t="s">
        <v>46</v>
      </c>
      <c r="V1" t="s">
        <v>182</v>
      </c>
    </row>
    <row r="2" spans="1:23" ht="15.6">
      <c r="A2" s="52" t="s">
        <v>177</v>
      </c>
      <c r="B2" s="52"/>
      <c r="C2" s="52"/>
      <c r="D2" s="52"/>
      <c r="E2" s="52"/>
      <c r="F2" s="52"/>
      <c r="G2" s="52"/>
      <c r="H2" s="52"/>
      <c r="I2" s="52"/>
      <c r="J2" s="52"/>
      <c r="K2" s="52"/>
      <c r="L2" s="52"/>
      <c r="M2" s="52"/>
      <c r="N2" s="52"/>
      <c r="O2" s="52"/>
      <c r="P2" s="52"/>
      <c r="Q2" s="52"/>
      <c r="R2" s="52"/>
      <c r="S2" s="52"/>
      <c r="U2" t="s">
        <v>25</v>
      </c>
      <c r="V2">
        <f>SUM([1]RAW_DATA!O:O)</f>
        <v>144</v>
      </c>
    </row>
    <row r="3" spans="1:23">
      <c r="U3" t="s">
        <v>21</v>
      </c>
      <c r="V3">
        <f>SUM([1]RAW_DATA!S:S)</f>
        <v>86</v>
      </c>
    </row>
    <row r="4" spans="1:23">
      <c r="U4" t="s">
        <v>19</v>
      </c>
      <c r="V4">
        <f>SUM([1]RAW_DATA!P:P)</f>
        <v>80</v>
      </c>
    </row>
    <row r="5" spans="1:23">
      <c r="C5" s="53">
        <f>COUNTA([1]RAW_DATA!A:A)-1</f>
        <v>230</v>
      </c>
      <c r="D5" s="53"/>
      <c r="G5" s="53">
        <f>COUNTIF(RAW_DATA!AZ:AZ,"Fulltime")</f>
        <v>205</v>
      </c>
      <c r="H5" s="53"/>
      <c r="K5" s="53" t="s">
        <v>25</v>
      </c>
      <c r="L5" s="53"/>
      <c r="O5" s="54">
        <v>7.2999999999999995E-2</v>
      </c>
      <c r="P5" s="53"/>
      <c r="U5" t="s">
        <v>26</v>
      </c>
      <c r="V5">
        <f>SUM([1]RAW_DATA!Q:Q)</f>
        <v>63</v>
      </c>
    </row>
    <row r="6" spans="1:23">
      <c r="C6" s="53"/>
      <c r="D6" s="53"/>
      <c r="G6" s="53"/>
      <c r="H6" s="53"/>
      <c r="K6" s="53"/>
      <c r="L6" s="53"/>
      <c r="O6" s="53"/>
      <c r="P6" s="53"/>
      <c r="U6" t="s">
        <v>36</v>
      </c>
      <c r="V6">
        <f>SUM([1]RAW_DATA!AC:AC)</f>
        <v>44</v>
      </c>
    </row>
    <row r="7" spans="1:23">
      <c r="C7" s="53"/>
      <c r="D7" s="53"/>
      <c r="G7" s="53"/>
      <c r="H7" s="53"/>
      <c r="K7" s="53"/>
      <c r="L7" s="53"/>
      <c r="O7" s="53"/>
      <c r="P7" s="53"/>
      <c r="U7" t="s">
        <v>15</v>
      </c>
      <c r="V7">
        <f>SUM([1]RAW_DATA!AA:AA)</f>
        <v>32</v>
      </c>
    </row>
    <row r="8" spans="1:23">
      <c r="C8" s="50" t="s">
        <v>178</v>
      </c>
      <c r="D8" s="50"/>
      <c r="G8" s="50" t="s">
        <v>179</v>
      </c>
      <c r="H8" s="50"/>
      <c r="K8" s="50" t="s">
        <v>180</v>
      </c>
      <c r="L8" s="50"/>
      <c r="O8" s="50" t="s">
        <v>181</v>
      </c>
      <c r="P8" s="50"/>
      <c r="U8" t="s">
        <v>27</v>
      </c>
      <c r="V8">
        <f>SUM([1]RAW_DATA!R:R)</f>
        <v>29</v>
      </c>
    </row>
    <row r="12" spans="1:23">
      <c r="U12" t="s">
        <v>183</v>
      </c>
      <c r="W12" t="s">
        <v>182</v>
      </c>
    </row>
    <row r="13" spans="1:23">
      <c r="U13" t="s">
        <v>2</v>
      </c>
      <c r="W13">
        <f>COUNTIF(RAW_DATA!$D:$D,"Data Analyst")</f>
        <v>65</v>
      </c>
    </row>
    <row r="14" spans="1:23">
      <c r="U14" t="s">
        <v>4</v>
      </c>
      <c r="W14">
        <f>COUNTIF(RAW_DATA!$D:$D,"Business Analyst")</f>
        <v>59</v>
      </c>
    </row>
    <row r="15" spans="1:23">
      <c r="U15" t="s">
        <v>8</v>
      </c>
      <c r="W15">
        <f>COUNTIF(RAW_DATA!$D:$D,"Data Engineer")</f>
        <v>60</v>
      </c>
    </row>
    <row r="16" spans="1:23">
      <c r="U16" t="s">
        <v>9</v>
      </c>
      <c r="W16">
        <f>COUNTIF(RAW_DATA!$D:$D,"BI Developer")</f>
        <v>22</v>
      </c>
    </row>
    <row r="17" spans="3:23">
      <c r="U17" t="s">
        <v>7</v>
      </c>
      <c r="W17">
        <f>COUNTIF(RAW_DATA!$D:$D,"MIS Analyst")</f>
        <v>23</v>
      </c>
    </row>
    <row r="20" spans="3:23">
      <c r="U20" t="s">
        <v>106</v>
      </c>
      <c r="V20" t="s">
        <v>184</v>
      </c>
    </row>
    <row r="21" spans="3:23">
      <c r="U21" t="s">
        <v>3</v>
      </c>
      <c r="V21">
        <f>COUNTIF(RAW_DATA!$F:$F,"Bengaluru")</f>
        <v>78</v>
      </c>
    </row>
    <row r="22" spans="3:23">
      <c r="U22" t="s">
        <v>111</v>
      </c>
      <c r="V22">
        <f>COUNTIF(RAW_DATA!$F:$F,"Delhi NCR")+COUNTIF(RAW_DATA!$F:$F,"Delhi")+COUNTIF(RAW_DATA!$F:$F,"Noida")+COUNTIF(RAW_DATA!$F:$F,"Gurgaon")</f>
        <v>56</v>
      </c>
    </row>
    <row r="23" spans="3:23">
      <c r="U23" t="s">
        <v>5</v>
      </c>
      <c r="V23">
        <f>COUNTIF(RAW_DATA!$F:$F,"Hyderabad")</f>
        <v>28</v>
      </c>
    </row>
    <row r="24" spans="3:23">
      <c r="U24" t="s">
        <v>13</v>
      </c>
      <c r="V24">
        <f>COUNTIF(RAW_DATA!$F:$F,"Pune")</f>
        <v>24</v>
      </c>
    </row>
    <row r="25" spans="3:23">
      <c r="U25" t="s">
        <v>6</v>
      </c>
      <c r="V25">
        <f>COUNTIF(RAW_DATA!$F:$F,"Mumbai")</f>
        <v>19</v>
      </c>
    </row>
    <row r="26" spans="3:23">
      <c r="U26" t="s">
        <v>16</v>
      </c>
      <c r="V26">
        <f>COUNTIF(RAW_DATA!$F:$F,"Chennai")</f>
        <v>16</v>
      </c>
    </row>
    <row r="27" spans="3:23">
      <c r="C27" s="49" t="s">
        <v>186</v>
      </c>
      <c r="D27" s="49"/>
      <c r="E27" s="49"/>
      <c r="F27" s="49"/>
      <c r="G27" s="49"/>
      <c r="H27" s="49"/>
      <c r="K27" s="49" t="s">
        <v>187</v>
      </c>
      <c r="L27" s="49"/>
      <c r="M27" s="49"/>
      <c r="N27" s="49"/>
      <c r="O27" s="49"/>
      <c r="P27" s="49"/>
    </row>
    <row r="29" spans="3:23">
      <c r="U29" t="s">
        <v>185</v>
      </c>
      <c r="V29" t="s">
        <v>182</v>
      </c>
    </row>
    <row r="30" spans="3:23">
      <c r="U30" t="s">
        <v>11</v>
      </c>
      <c r="V30">
        <f>COUNTIF(RAW_DATA!$M:$M,"On-site")</f>
        <v>202</v>
      </c>
    </row>
    <row r="31" spans="3:23">
      <c r="U31" t="s">
        <v>10</v>
      </c>
      <c r="V31">
        <f>COUNTIF(RAW_DATA!$M:$M,"Hybrid")</f>
        <v>11</v>
      </c>
    </row>
    <row r="32" spans="3:23">
      <c r="U32" t="s">
        <v>20</v>
      </c>
      <c r="V32">
        <f>COUNTIF(RAW_DATA!$M:$M,"Remote")</f>
        <v>12</v>
      </c>
    </row>
    <row r="45" spans="3:16">
      <c r="C45" s="49" t="s">
        <v>188</v>
      </c>
      <c r="D45" s="49"/>
      <c r="E45" s="49"/>
      <c r="F45" s="49"/>
      <c r="G45" s="49"/>
      <c r="H45" s="49"/>
      <c r="K45" s="49" t="s">
        <v>189</v>
      </c>
      <c r="L45" s="49"/>
      <c r="M45" s="49"/>
      <c r="N45" s="49"/>
      <c r="O45" s="49"/>
      <c r="P45" s="49"/>
    </row>
    <row r="57" spans="3:10">
      <c r="C57" s="49" t="s">
        <v>110</v>
      </c>
      <c r="D57" s="49"/>
      <c r="E57" s="49"/>
      <c r="F57" s="49"/>
      <c r="G57" s="49"/>
      <c r="H57" s="49"/>
      <c r="I57" s="49"/>
      <c r="J57" s="49"/>
    </row>
  </sheetData>
  <mergeCells count="15">
    <mergeCell ref="C8:D8"/>
    <mergeCell ref="G8:H8"/>
    <mergeCell ref="K8:L8"/>
    <mergeCell ref="O8:P8"/>
    <mergeCell ref="A1:S1"/>
    <mergeCell ref="A2:S2"/>
    <mergeCell ref="C5:D7"/>
    <mergeCell ref="G5:H7"/>
    <mergeCell ref="K5:L7"/>
    <mergeCell ref="O5:P7"/>
    <mergeCell ref="C57:J57"/>
    <mergeCell ref="C27:H27"/>
    <mergeCell ref="K27:P27"/>
    <mergeCell ref="C45:H45"/>
    <mergeCell ref="K45:P45"/>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SKILL_MATRIX</vt:lpstr>
      <vt:lpstr>SALARY_INSIGHTS</vt:lpstr>
      <vt:lpstr>CITY_TRENDS</vt:lpstr>
      <vt:lpstr>INSIGHTS</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Gurpreet Kaur</dc:creator>
  <cp:lastModifiedBy>Gurpreet Kaur</cp:lastModifiedBy>
  <dcterms:created xsi:type="dcterms:W3CDTF">2026-06-05T05:50:30Z</dcterms:created>
  <dcterms:modified xsi:type="dcterms:W3CDTF">2026-06-15T14:28:10Z</dcterms:modified>
</cp:coreProperties>
</file>