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aurs\Desktop\"/>
    </mc:Choice>
  </mc:AlternateContent>
  <bookViews>
    <workbookView xWindow="-108" yWindow="-108" windowWidth="23256" windowHeight="12456"/>
  </bookViews>
  <sheets>
    <sheet name="SKILL_MATRIX" sheetId="2" r:id="rId1"/>
    <sheet name="SALARY_INSIGHTS" sheetId="3" r:id="rId2"/>
    <sheet name="CITY_TRENDS" sheetId="4" r:id="rId3"/>
    <sheet name="INSIGHTS" sheetId="1" r:id="rId4"/>
    <sheet name="DASHBOARD" sheetId="5" r:id="rId5"/>
  </sheets>
  <externalReferences>
    <externalReference r:id="rId6"/>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31" i="5" l="1"/>
  <c r="V32" i="5"/>
  <c r="V30" i="5"/>
  <c r="V26" i="5"/>
  <c r="V25" i="5"/>
  <c r="V24" i="5"/>
  <c r="V23" i="5"/>
  <c r="V22" i="5"/>
  <c r="V21" i="5"/>
  <c r="W17" i="5"/>
  <c r="W16" i="5"/>
  <c r="W15" i="5"/>
  <c r="W14" i="5"/>
  <c r="W13" i="5"/>
  <c r="G5" i="5"/>
  <c r="C5" i="5"/>
  <c r="L35" i="4"/>
  <c r="L33" i="4"/>
  <c r="L32" i="4"/>
  <c r="L31" i="4"/>
  <c r="E34" i="4"/>
  <c r="E33" i="4"/>
  <c r="E32" i="4"/>
  <c r="E31" i="4"/>
  <c r="I34" i="4"/>
  <c r="I33" i="4"/>
  <c r="I32" i="4"/>
  <c r="H34" i="4"/>
  <c r="H33" i="4"/>
  <c r="H32" i="4"/>
  <c r="G34" i="4"/>
  <c r="G33" i="4"/>
  <c r="G32" i="4"/>
  <c r="G31" i="4"/>
  <c r="F34" i="4"/>
  <c r="F33" i="4"/>
  <c r="F32" i="4"/>
  <c r="F31" i="4"/>
  <c r="I31" i="4"/>
  <c r="H31" i="4"/>
  <c r="D34" i="4"/>
  <c r="D33" i="4"/>
  <c r="D32" i="4"/>
  <c r="D31" i="4"/>
  <c r="B34" i="4"/>
  <c r="B33" i="4"/>
  <c r="B32" i="4"/>
  <c r="B31" i="4"/>
  <c r="N12" i="4"/>
  <c r="N11" i="4"/>
  <c r="N10" i="4"/>
  <c r="N9" i="4"/>
  <c r="N8" i="4"/>
  <c r="N7" i="4"/>
  <c r="M12" i="4"/>
  <c r="M11" i="4"/>
  <c r="M10" i="4"/>
  <c r="M9" i="4"/>
  <c r="M8" i="4"/>
  <c r="M7" i="4"/>
  <c r="L11" i="4"/>
  <c r="L10" i="4"/>
  <c r="L9" i="4"/>
  <c r="L8" i="4"/>
  <c r="L7" i="4"/>
  <c r="K11" i="4"/>
  <c r="K10" i="4"/>
  <c r="K9" i="4"/>
  <c r="K8" i="4"/>
  <c r="K7" i="4"/>
  <c r="F23" i="4"/>
  <c r="E23" i="4"/>
  <c r="D23" i="4"/>
  <c r="C23" i="4"/>
  <c r="B23" i="4"/>
  <c r="F24" i="4"/>
  <c r="E24" i="4"/>
  <c r="D24" i="4"/>
  <c r="C24" i="4"/>
  <c r="B24" i="4"/>
  <c r="E12" i="4"/>
  <c r="D12" i="4"/>
  <c r="B12" i="4"/>
  <c r="F25" i="4"/>
  <c r="E25" i="4"/>
  <c r="E22" i="4"/>
  <c r="D22" i="4"/>
  <c r="F22" i="4"/>
  <c r="E21" i="4"/>
  <c r="D25" i="4"/>
  <c r="D21" i="4"/>
  <c r="C25" i="4"/>
  <c r="C22" i="4"/>
  <c r="F21" i="4"/>
  <c r="C21" i="4"/>
  <c r="B21" i="4"/>
  <c r="B22" i="4"/>
  <c r="B25" i="4"/>
  <c r="F20" i="4"/>
  <c r="E20" i="4"/>
  <c r="D20" i="4"/>
  <c r="C20" i="4"/>
  <c r="B20" i="4"/>
  <c r="E7" i="4"/>
  <c r="D8" i="4"/>
  <c r="D9" i="4"/>
  <c r="D10" i="4"/>
  <c r="D11" i="4"/>
  <c r="D7" i="4"/>
  <c r="B11" i="4"/>
  <c r="E11" i="4"/>
  <c r="E10" i="4"/>
  <c r="E9" i="4"/>
  <c r="E8" i="4"/>
  <c r="B10" i="4"/>
  <c r="B9" i="4"/>
  <c r="B8" i="4"/>
  <c r="B7" i="4"/>
  <c r="K11" i="3"/>
  <c r="K10" i="3"/>
  <c r="K9" i="3"/>
  <c r="K8" i="3"/>
  <c r="K7" i="3"/>
  <c r="J11" i="3"/>
  <c r="J10" i="3"/>
  <c r="J9" i="3"/>
  <c r="J8" i="3"/>
  <c r="J7" i="3"/>
  <c r="E9" i="3"/>
  <c r="E8" i="3"/>
  <c r="E7" i="3"/>
  <c r="R25" i="2"/>
  <c r="R24" i="2"/>
  <c r="R23" i="2"/>
  <c r="R22" i="2"/>
  <c r="R21" i="2"/>
  <c r="R20" i="2"/>
  <c r="R19" i="2"/>
  <c r="R18" i="2"/>
  <c r="R17" i="2"/>
  <c r="R16" i="2"/>
  <c r="R15" i="2"/>
  <c r="R14" i="2"/>
  <c r="R13" i="2"/>
  <c r="R12" i="2"/>
  <c r="R11" i="2"/>
  <c r="R10" i="2"/>
  <c r="R9" i="2"/>
  <c r="R8" i="2"/>
  <c r="R7" i="2"/>
  <c r="R6" i="2"/>
  <c r="R5" i="2"/>
  <c r="R4" i="2"/>
  <c r="R3" i="2"/>
  <c r="R2" i="2"/>
  <c r="Q25" i="2"/>
  <c r="Q24" i="2"/>
  <c r="Q23" i="2"/>
  <c r="Q22" i="2"/>
  <c r="Q21" i="2"/>
  <c r="Q20" i="2"/>
  <c r="Q19" i="2"/>
  <c r="Q18" i="2"/>
  <c r="Q17" i="2"/>
  <c r="Q16" i="2"/>
  <c r="Q15" i="2"/>
  <c r="Q14" i="2"/>
  <c r="Q13" i="2"/>
  <c r="Q12" i="2"/>
  <c r="Q11" i="2"/>
  <c r="Q10" i="2"/>
  <c r="Q9" i="2"/>
  <c r="Q8" i="2"/>
  <c r="Q7" i="2"/>
  <c r="Q6" i="2"/>
  <c r="Q5" i="2"/>
  <c r="Q4" i="2"/>
  <c r="Q3" i="2"/>
  <c r="Q2" i="2"/>
  <c r="P25" i="2"/>
  <c r="P24" i="2"/>
  <c r="P23" i="2"/>
  <c r="P22" i="2"/>
  <c r="P21" i="2"/>
  <c r="P20" i="2"/>
  <c r="P19" i="2"/>
  <c r="P18" i="2"/>
  <c r="P17" i="2"/>
  <c r="P16" i="2"/>
  <c r="P15" i="2"/>
  <c r="P14" i="2"/>
  <c r="P13" i="2"/>
  <c r="P12" i="2"/>
  <c r="P11" i="2"/>
  <c r="P10" i="2"/>
  <c r="P9" i="2"/>
  <c r="P8" i="2"/>
  <c r="P7" i="2"/>
  <c r="P6" i="2"/>
  <c r="P5" i="2"/>
  <c r="P4" i="2"/>
  <c r="P3" i="2"/>
  <c r="P2" i="2"/>
  <c r="O25" i="2"/>
  <c r="O24" i="2"/>
  <c r="O23" i="2"/>
  <c r="O22" i="2"/>
  <c r="O21" i="2"/>
  <c r="O20" i="2"/>
  <c r="O19" i="2"/>
  <c r="O18" i="2"/>
  <c r="O17" i="2"/>
  <c r="O16" i="2"/>
  <c r="O15" i="2"/>
  <c r="O14" i="2"/>
  <c r="O13" i="2"/>
  <c r="O12" i="2"/>
  <c r="O11" i="2"/>
  <c r="O10" i="2"/>
  <c r="O9" i="2"/>
  <c r="O8" i="2"/>
  <c r="O7" i="2"/>
  <c r="O6" i="2"/>
  <c r="O4" i="2"/>
  <c r="O3" i="2"/>
  <c r="O2" i="2"/>
  <c r="N2" i="2"/>
  <c r="N24" i="2"/>
  <c r="N23" i="2"/>
  <c r="N22" i="2"/>
  <c r="N20" i="2"/>
  <c r="N19" i="2"/>
  <c r="N18" i="2"/>
  <c r="N17" i="2"/>
  <c r="N16" i="2"/>
  <c r="N14" i="2"/>
  <c r="N13" i="2"/>
  <c r="N12" i="2"/>
  <c r="N11" i="2"/>
  <c r="N10" i="2"/>
  <c r="N9" i="2"/>
  <c r="N8" i="2"/>
  <c r="N7" i="2"/>
  <c r="N5" i="2"/>
  <c r="N4" i="2"/>
  <c r="N3" i="2"/>
  <c r="M25" i="2"/>
  <c r="M24" i="2"/>
  <c r="M23" i="2"/>
  <c r="M22" i="2"/>
  <c r="M21" i="2"/>
  <c r="M20" i="2"/>
  <c r="M19" i="2"/>
  <c r="M18" i="2"/>
  <c r="M17" i="2"/>
  <c r="M16" i="2"/>
  <c r="M15" i="2"/>
  <c r="M14" i="2"/>
  <c r="M13" i="2"/>
  <c r="M12" i="2"/>
  <c r="M11" i="2"/>
  <c r="M10" i="2"/>
  <c r="M9" i="2"/>
  <c r="M8" i="2"/>
  <c r="M7" i="2"/>
  <c r="M6" i="2"/>
  <c r="M5" i="2"/>
  <c r="M4" i="2"/>
  <c r="M3" i="2"/>
  <c r="M2" i="2"/>
  <c r="L25" i="2"/>
  <c r="L24" i="2"/>
  <c r="L23" i="2"/>
  <c r="L22" i="2"/>
  <c r="L21" i="2"/>
  <c r="L20" i="2"/>
  <c r="L19" i="2"/>
  <c r="L18" i="2"/>
  <c r="L17" i="2"/>
  <c r="L16" i="2"/>
  <c r="L15" i="2"/>
  <c r="L14" i="2"/>
  <c r="L13" i="2"/>
  <c r="L12" i="2"/>
  <c r="L11" i="2"/>
  <c r="L10" i="2"/>
  <c r="L9" i="2"/>
  <c r="L8" i="2"/>
  <c r="L7" i="2"/>
  <c r="L6" i="2"/>
  <c r="L5" i="2"/>
  <c r="L4" i="2"/>
  <c r="L3" i="2"/>
  <c r="L2" i="2"/>
  <c r="K25" i="2"/>
  <c r="K9" i="2"/>
  <c r="K13" i="2"/>
  <c r="K24" i="2"/>
  <c r="K23" i="2"/>
  <c r="K22" i="2"/>
  <c r="K21" i="2"/>
  <c r="K20" i="2"/>
  <c r="K19" i="2"/>
  <c r="K5" i="2"/>
  <c r="K12" i="2"/>
  <c r="K8" i="2"/>
  <c r="K18" i="2"/>
  <c r="K17" i="2"/>
  <c r="K11" i="2"/>
  <c r="K10" i="2"/>
  <c r="K16" i="2"/>
  <c r="K7" i="2"/>
  <c r="K15" i="2"/>
  <c r="K3" i="2"/>
  <c r="K14" i="2"/>
  <c r="K6" i="2"/>
  <c r="K4" i="2"/>
  <c r="K2" i="2"/>
  <c r="J25" i="2"/>
  <c r="J24" i="2"/>
  <c r="J23" i="2"/>
  <c r="J22" i="2"/>
  <c r="J21" i="2"/>
  <c r="J20" i="2"/>
  <c r="J19" i="2"/>
  <c r="J18" i="2"/>
  <c r="J17" i="2"/>
  <c r="J16" i="2"/>
  <c r="J15" i="2"/>
  <c r="J14" i="2"/>
  <c r="J13" i="2"/>
  <c r="J12" i="2"/>
  <c r="J11" i="2"/>
  <c r="J10" i="2"/>
  <c r="J9" i="2"/>
  <c r="J8" i="2"/>
  <c r="J7" i="2"/>
  <c r="J6" i="2"/>
  <c r="J5" i="2"/>
  <c r="J4" i="2"/>
  <c r="J3" i="2"/>
  <c r="J2" i="2"/>
  <c r="I25" i="2"/>
  <c r="I24" i="2"/>
  <c r="I23" i="2"/>
  <c r="I22" i="2"/>
  <c r="I21" i="2"/>
  <c r="I20" i="2"/>
  <c r="I19" i="2"/>
  <c r="I18" i="2"/>
  <c r="I17" i="2"/>
  <c r="I16" i="2"/>
  <c r="I15" i="2"/>
  <c r="I14" i="2"/>
  <c r="I13" i="2"/>
  <c r="I12" i="2"/>
  <c r="I11" i="2"/>
  <c r="I10" i="2"/>
  <c r="I9" i="2"/>
  <c r="I8" i="2"/>
  <c r="I7" i="2"/>
  <c r="I6" i="2"/>
  <c r="I5" i="2"/>
  <c r="I4" i="2"/>
  <c r="I3" i="2"/>
  <c r="I2" i="2"/>
  <c r="H25" i="2"/>
  <c r="H24" i="2"/>
  <c r="H23" i="2"/>
  <c r="H22" i="2"/>
  <c r="H21" i="2"/>
  <c r="H20" i="2"/>
  <c r="H19" i="2"/>
  <c r="H18" i="2"/>
  <c r="H17" i="2"/>
  <c r="H16" i="2"/>
  <c r="H15" i="2"/>
  <c r="H14" i="2"/>
  <c r="H13" i="2"/>
  <c r="H12" i="2"/>
  <c r="H11" i="2"/>
  <c r="H10" i="2"/>
  <c r="H9" i="2"/>
  <c r="H8" i="2"/>
  <c r="H7" i="2"/>
  <c r="H6" i="2"/>
  <c r="H5" i="2"/>
  <c r="H4" i="2"/>
  <c r="H3" i="2"/>
  <c r="H2" i="2"/>
  <c r="G2" i="2"/>
  <c r="G15" i="2"/>
  <c r="G25" i="2"/>
  <c r="G14" i="2"/>
  <c r="G13" i="2"/>
  <c r="G24" i="2"/>
  <c r="G12" i="2"/>
  <c r="G23" i="2"/>
  <c r="G22" i="2"/>
  <c r="G21" i="2"/>
  <c r="G7" i="2"/>
  <c r="G20" i="2"/>
  <c r="G6" i="2"/>
  <c r="G19" i="2"/>
  <c r="G18" i="2"/>
  <c r="G17" i="2"/>
  <c r="G16" i="2"/>
  <c r="G11" i="2"/>
  <c r="G10" i="2"/>
  <c r="G9" i="2"/>
  <c r="G3" i="2"/>
  <c r="G8" i="2"/>
  <c r="G4" i="2"/>
  <c r="F2" i="2"/>
  <c r="F10" i="2"/>
  <c r="F19" i="2"/>
  <c r="F18" i="2"/>
  <c r="F24" i="2"/>
  <c r="F17" i="2"/>
  <c r="F16" i="2"/>
  <c r="F23" i="2"/>
  <c r="F15" i="2"/>
  <c r="F9" i="2"/>
  <c r="F8" i="2"/>
  <c r="F14" i="2"/>
  <c r="F5" i="2"/>
  <c r="F22" i="2"/>
  <c r="F21" i="2"/>
  <c r="F25" i="2"/>
  <c r="F13" i="2"/>
  <c r="F12" i="2"/>
  <c r="F11" i="2"/>
  <c r="F20" i="2"/>
  <c r="F4" i="2"/>
  <c r="F7" i="2"/>
  <c r="F6" i="2"/>
  <c r="F3" i="2"/>
  <c r="E13" i="2"/>
  <c r="E12" i="2"/>
  <c r="E17" i="2"/>
  <c r="E22" i="2"/>
  <c r="E15" i="2"/>
  <c r="E25" i="2"/>
  <c r="E14" i="2"/>
  <c r="E11" i="2"/>
  <c r="E6" i="2"/>
  <c r="E10" i="2"/>
  <c r="E21" i="2"/>
  <c r="E20" i="2"/>
  <c r="E9" i="2"/>
  <c r="E19" i="2"/>
  <c r="E16" i="2"/>
  <c r="E7" i="2"/>
  <c r="E18" i="2"/>
  <c r="E8" i="2"/>
  <c r="E4" i="2"/>
  <c r="E5" i="2"/>
  <c r="E2" i="2"/>
  <c r="B37" i="2"/>
  <c r="B36" i="2"/>
  <c r="B35" i="2"/>
  <c r="B33" i="2"/>
  <c r="B32" i="2"/>
  <c r="B31" i="2"/>
  <c r="C24" i="2"/>
  <c r="C25" i="2"/>
  <c r="L12" i="4" a="1"/>
  <c r="K12" i="4" a="1"/>
  <c r="V6" i="5" l="1"/>
  <c r="V7" i="5"/>
  <c r="V3" i="5"/>
  <c r="V8" i="5"/>
  <c r="V5" i="5"/>
  <c r="V4" i="5"/>
  <c r="V2" i="5"/>
  <c r="B2" i="2"/>
  <c r="C32" i="4"/>
  <c r="C33" i="4"/>
  <c r="C34" i="4"/>
  <c r="C31" i="4"/>
  <c r="D13" i="4"/>
  <c r="B13" i="4"/>
  <c r="C7" i="4"/>
  <c r="E13" i="4"/>
  <c r="C10" i="4"/>
  <c r="C12" i="4"/>
  <c r="C11" i="4"/>
  <c r="C8" i="4"/>
  <c r="C9" i="4"/>
  <c r="E24" i="2"/>
  <c r="N15" i="2"/>
  <c r="D24" i="2"/>
  <c r="D23" i="2"/>
  <c r="D22" i="2"/>
  <c r="D21" i="2"/>
  <c r="D20" i="2"/>
  <c r="D19" i="2"/>
  <c r="D18" i="2"/>
  <c r="D17" i="2"/>
  <c r="D16" i="2"/>
  <c r="D15" i="2"/>
  <c r="D14" i="2"/>
  <c r="D13" i="2"/>
  <c r="D12" i="2"/>
  <c r="D11" i="2"/>
  <c r="D10" i="2"/>
  <c r="D9" i="2"/>
  <c r="D8" i="2"/>
  <c r="D7" i="2"/>
  <c r="D6" i="2"/>
  <c r="D5" i="2"/>
  <c r="D4" i="2"/>
  <c r="D3" i="2"/>
  <c r="D2" i="2"/>
  <c r="B23" i="2"/>
  <c r="B22" i="2"/>
  <c r="B21" i="2"/>
  <c r="B20" i="2"/>
  <c r="B19" i="2"/>
  <c r="B18" i="2"/>
  <c r="B17" i="2"/>
  <c r="B16" i="2"/>
  <c r="B15" i="2"/>
  <c r="B14" i="2"/>
  <c r="B13" i="2"/>
  <c r="B12" i="2"/>
  <c r="B11" i="2"/>
  <c r="B10" i="2"/>
  <c r="B9" i="2"/>
  <c r="B8" i="2"/>
  <c r="B7" i="2"/>
  <c r="B6" i="2"/>
  <c r="B5" i="2"/>
  <c r="B4" i="2"/>
  <c r="B3" i="2"/>
  <c r="N6" i="2"/>
  <c r="E3" i="2"/>
  <c r="O5" i="2"/>
  <c r="B41" i="2"/>
  <c r="B40" i="2"/>
  <c r="B39" i="2"/>
  <c r="B38" i="2"/>
  <c r="B30" i="2"/>
  <c r="N21" i="2"/>
  <c r="G5" i="2"/>
  <c r="B42" i="2"/>
  <c r="L9" i="3"/>
  <c r="L10" i="3"/>
  <c r="L8" i="3"/>
  <c r="L7" i="3"/>
  <c r="L11" i="3"/>
  <c r="C36" i="2"/>
  <c r="C35" i="2"/>
  <c r="C33" i="2"/>
  <c r="C32" i="2"/>
  <c r="C31" i="2"/>
  <c r="C37" i="2"/>
  <c r="B34" i="2"/>
  <c r="C34" i="2" s="1"/>
  <c r="C13" i="4" l="1"/>
  <c r="C11" i="2"/>
  <c r="C12" i="2"/>
  <c r="C13" i="2"/>
  <c r="C14" i="2"/>
  <c r="C15" i="2"/>
  <c r="C42" i="2"/>
  <c r="C2" i="2"/>
  <c r="C3" i="2"/>
  <c r="C6" i="2"/>
  <c r="C4" i="2"/>
  <c r="C5" i="2"/>
  <c r="C7" i="2"/>
  <c r="C8" i="2"/>
  <c r="C9" i="2"/>
  <c r="C10" i="2"/>
  <c r="C16" i="2"/>
  <c r="C17" i="2"/>
  <c r="C18" i="2"/>
  <c r="C19" i="2"/>
  <c r="C20" i="2"/>
  <c r="C21" i="2"/>
  <c r="C22" i="2"/>
  <c r="C23" i="2"/>
  <c r="C40" i="2"/>
  <c r="C41" i="2"/>
  <c r="C30" i="2"/>
  <c r="C39" i="2"/>
  <c r="C38" i="2"/>
  <c r="N25" i="2" l="1"/>
  <c r="D25" i="2"/>
  <c r="E23" i="2"/>
  <c r="L12" i="4"/>
  <c r="K12"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<sst xmlns="http://schemas.openxmlformats.org/spreadsheetml/2006/main" count="270" uniqueCount="190">
  <si>
    <t>City</t>
  </si>
  <si>
    <t>LinkedIn</t>
  </si>
  <si>
    <t>Data Analyst</t>
  </si>
  <si>
    <t>Bengaluru</t>
  </si>
  <si>
    <t>Business Analyst</t>
  </si>
  <si>
    <t>Hyderabad</t>
  </si>
  <si>
    <t>Mumbai</t>
  </si>
  <si>
    <t>MIS Analyst</t>
  </si>
  <si>
    <t>Data Engineer</t>
  </si>
  <si>
    <t>BI Developer</t>
  </si>
  <si>
    <t>Hybrid</t>
  </si>
  <si>
    <t>On-site</t>
  </si>
  <si>
    <t>Noida</t>
  </si>
  <si>
    <t>Pune</t>
  </si>
  <si>
    <t>Gurgaon</t>
  </si>
  <si>
    <t>PySpark</t>
  </si>
  <si>
    <t>Chennai</t>
  </si>
  <si>
    <t>Delhi</t>
  </si>
  <si>
    <t>Naukri</t>
  </si>
  <si>
    <t>Python</t>
  </si>
  <si>
    <t>Remote</t>
  </si>
  <si>
    <t>Excel</t>
  </si>
  <si>
    <t>Foundit</t>
  </si>
  <si>
    <t>Internshala</t>
  </si>
  <si>
    <t>Unstop</t>
  </si>
  <si>
    <t>SQL</t>
  </si>
  <si>
    <t>PowerBI</t>
  </si>
  <si>
    <t>Tableau</t>
  </si>
  <si>
    <t>Statistics</t>
  </si>
  <si>
    <t>AWS</t>
  </si>
  <si>
    <t>GCP</t>
  </si>
  <si>
    <t>Data Modeling</t>
  </si>
  <si>
    <t>Pandas</t>
  </si>
  <si>
    <t>Numpy</t>
  </si>
  <si>
    <t>Pyspark</t>
  </si>
  <si>
    <t>Hadoop</t>
  </si>
  <si>
    <t>ETL</t>
  </si>
  <si>
    <t>Azure</t>
  </si>
  <si>
    <t>A/B Testing</t>
  </si>
  <si>
    <t>Snowflake</t>
  </si>
  <si>
    <t>Agile</t>
  </si>
  <si>
    <t>Jira</t>
  </si>
  <si>
    <t>Git &amp; Github</t>
  </si>
  <si>
    <t>MIS Reporting</t>
  </si>
  <si>
    <t>Databricks</t>
  </si>
  <si>
    <t>CI/CD</t>
  </si>
  <si>
    <t>Skill</t>
  </si>
  <si>
    <t>Total_Count</t>
  </si>
  <si>
    <t>Pct_of_All_Jobs</t>
  </si>
  <si>
    <t>Required_Count</t>
  </si>
  <si>
    <t>Banglore</t>
  </si>
  <si>
    <t>Data_Analyst</t>
  </si>
  <si>
    <t>Business_Analyst</t>
  </si>
  <si>
    <t>Data_Engineer</t>
  </si>
  <si>
    <t>BI_Developer</t>
  </si>
  <si>
    <t>MIS_Analyst</t>
  </si>
  <si>
    <t>No_SQL</t>
  </si>
  <si>
    <t>Pref_Skill</t>
  </si>
  <si>
    <t>Airflow</t>
  </si>
  <si>
    <t>Kafka</t>
  </si>
  <si>
    <t>ML</t>
  </si>
  <si>
    <t>Docker</t>
  </si>
  <si>
    <t>dbt</t>
  </si>
  <si>
    <t>API</t>
  </si>
  <si>
    <t>Internship</t>
  </si>
  <si>
    <t>Compensation Intelligence</t>
  </si>
  <si>
    <t>Category</t>
  </si>
  <si>
    <t>Total Posts</t>
  </si>
  <si>
    <t>Disclosed</t>
  </si>
  <si>
    <t>Not Disclosed</t>
  </si>
  <si>
    <t>Disclosure Rate</t>
  </si>
  <si>
    <t>Salary  Disclosure Rate</t>
  </si>
  <si>
    <t>Full time</t>
  </si>
  <si>
    <t>Overall</t>
  </si>
  <si>
    <t>Salary Range Summary</t>
  </si>
  <si>
    <t>Metric</t>
  </si>
  <si>
    <t>Value</t>
  </si>
  <si>
    <t>Lowest Min Salary</t>
  </si>
  <si>
    <t>Median Max Salary</t>
  </si>
  <si>
    <t>29 LPA</t>
  </si>
  <si>
    <t>Highest Max Salary (with outlier)</t>
  </si>
  <si>
    <t>Highest Max Salary (without outlier)</t>
  </si>
  <si>
    <t>8.25 LPA</t>
  </si>
  <si>
    <t>1 LPA</t>
  </si>
  <si>
    <t>Average Max Salary (with outlier)</t>
  </si>
  <si>
    <t>Average Max Salary (without outlier)</t>
  </si>
  <si>
    <t>2.66 LPA</t>
  </si>
  <si>
    <t>4.28 LPA</t>
  </si>
  <si>
    <t>Average Min Salary (with outlier)</t>
  </si>
  <si>
    <t>Average Min Salary (without outlier)</t>
  </si>
  <si>
    <t>Median Min Salary</t>
  </si>
  <si>
    <t>3 LPA</t>
  </si>
  <si>
    <t>5.87 LPA</t>
  </si>
  <si>
    <t>4.21 LPA</t>
  </si>
  <si>
    <t>4 LPA</t>
  </si>
  <si>
    <r>
      <rPr>
        <i/>
        <sz val="11"/>
        <color theme="1"/>
        <rFont val="Aptos Narrow"/>
        <family val="2"/>
        <scheme val="minor"/>
      </rPr>
      <t>Note</t>
    </r>
    <r>
      <rPr>
        <sz val="11"/>
        <color theme="1"/>
        <rFont val="Aptos Narrow"/>
        <family val="2"/>
        <scheme val="minor"/>
      </rPr>
      <t>:</t>
    </r>
    <r>
      <rPr>
        <i/>
        <sz val="11"/>
        <color theme="1"/>
        <rFont val="Aptos Narrow"/>
        <family val="2"/>
        <scheme val="minor"/>
      </rPr>
      <t xml:space="preserve"> Based on 15 disclosed postings  only (7.3% of full-time roles). Figures are directional,not statistically conclusive</t>
    </r>
    <r>
      <rPr>
        <sz val="11"/>
        <color theme="1"/>
        <rFont val="Aptos Narrow"/>
        <family val="2"/>
        <scheme val="minor"/>
      </rPr>
      <t>.</t>
    </r>
  </si>
  <si>
    <t>Salary Disclosure Rate by Platform</t>
  </si>
  <si>
    <t>Platform</t>
  </si>
  <si>
    <t>Total</t>
  </si>
  <si>
    <t xml:space="preserve">Internship Stipened Summary </t>
  </si>
  <si>
    <t>Highest Monthly Stipened</t>
  </si>
  <si>
    <t>Lowest Monthly Stipened</t>
  </si>
  <si>
    <t>Average Monthly Stipened</t>
  </si>
  <si>
    <t xml:space="preserve">Note: Based on 8 internships postings with disclosed stipened. Stipened figures are monthly Rs. </t>
  </si>
  <si>
    <t>Small sample (Internshala) , not conclusive.</t>
  </si>
  <si>
    <t>City Trends Analysis</t>
  </si>
  <si>
    <t xml:space="preserve">City </t>
  </si>
  <si>
    <t>Total_Postings</t>
  </si>
  <si>
    <t>% of Dataset</t>
  </si>
  <si>
    <t>Full_Time</t>
  </si>
  <si>
    <t>Role Distribution by City</t>
  </si>
  <si>
    <t>Delhi NCR</t>
  </si>
  <si>
    <t>Note: Delhi NCR figures consolidate postings listed under Delhi, Noida, Gurgaon - treated as one hiring region</t>
  </si>
  <si>
    <t>reflecting ground reality of the NCR job market.</t>
  </si>
  <si>
    <t>Experience requirements by City</t>
  </si>
  <si>
    <t>Avg Min Exp</t>
  </si>
  <si>
    <t>Avg Max Exp</t>
  </si>
  <si>
    <t>% Reuring 0 Exp</t>
  </si>
  <si>
    <t>% Requiring 0-2 yrs</t>
  </si>
  <si>
    <t>Hyderbad</t>
  </si>
  <si>
    <t>Top Skill Demand by City</t>
  </si>
  <si>
    <t>Skill_1: Count</t>
  </si>
  <si>
    <t>Skill_2:Count</t>
  </si>
  <si>
    <t>Skill_3:Count</t>
  </si>
  <si>
    <t>Python: 27</t>
  </si>
  <si>
    <t>SQL: 55</t>
  </si>
  <si>
    <t>PowerBI: 25</t>
  </si>
  <si>
    <t>SQL: 18</t>
  </si>
  <si>
    <t>Python: 11</t>
  </si>
  <si>
    <t>ETL: 9</t>
  </si>
  <si>
    <t>SQL:9</t>
  </si>
  <si>
    <t>Python &amp; Excel: 8</t>
  </si>
  <si>
    <t>MIS Reporting: 5</t>
  </si>
  <si>
    <t>Excel: 10</t>
  </si>
  <si>
    <t>SQL: 9</t>
  </si>
  <si>
    <t>Python &amp; PowerBI: 7</t>
  </si>
  <si>
    <t>PowerBI: 6</t>
  </si>
  <si>
    <t>Excel: 4</t>
  </si>
  <si>
    <t>SQL:  36</t>
  </si>
  <si>
    <t>Python &amp; Excel: 23</t>
  </si>
  <si>
    <t>Skill_4: Count</t>
  </si>
  <si>
    <t>Tableau: 24</t>
  </si>
  <si>
    <t>PowerBI: 8</t>
  </si>
  <si>
    <t>AWS: 4</t>
  </si>
  <si>
    <t>ETL: 4</t>
  </si>
  <si>
    <t>Python &amp; Azure: 3</t>
  </si>
  <si>
    <t>PowerBI: 21</t>
  </si>
  <si>
    <t>Tableau: 11</t>
  </si>
  <si>
    <t>Work Mode Analysis</t>
  </si>
  <si>
    <t xml:space="preserve">Work Mode </t>
  </si>
  <si>
    <t>City Trends</t>
  </si>
  <si>
    <t>India Data Roles Job Market Intelligence Report - 2026</t>
  </si>
  <si>
    <t>Analysis of 230 job postings across 6 cities , 5 roles, and 4 platforms| May- June 2026</t>
  </si>
  <si>
    <t>EXECUTIVE SUMMARY</t>
  </si>
  <si>
    <t>KEY FINDINGS</t>
  </si>
  <si>
    <t>Role Distribution across Dataset</t>
  </si>
  <si>
    <t>Percentage</t>
  </si>
  <si>
    <t xml:space="preserve">Role  </t>
  </si>
  <si>
    <t>Skill Demand</t>
  </si>
  <si>
    <t>Salary Transparency</t>
  </si>
  <si>
    <t>RECOMMENDATIONS FOR JOB SEEKERS</t>
  </si>
  <si>
    <t>DATA METHODOLOGY</t>
  </si>
  <si>
    <t>Prepared by : Gurpreet Kaur</t>
  </si>
  <si>
    <t xml:space="preserve">Market Overview </t>
  </si>
  <si>
    <t>City Intelligence</t>
  </si>
  <si>
    <t>Work Mode Reality</t>
  </si>
  <si>
    <t>Role Landscape</t>
  </si>
  <si>
    <t>This report analyzes 230 job postings for data-related roles across Bengaluru, Delhi NCR, Hyderabad, Pune, Mumbai, and Chennai collected between 5 June 2026 to 7 June 2026 from LinkedIn, Naukri, Foundit,Internshala, and Unstop.SQL emerged as the dominant technical requirement appearing in 63% of all postings, while salary transparency remains critically low at just 7.3% of full-time postings. Bengaluru accounts for 33.7% of all data role postings ,nearly 3x that of the next largest market. On-site work remains the dominant arrangement at 88% of postings, challenging assumptions about post-pandemic remote flexibility in Indian data hiring.</t>
  </si>
  <si>
    <t>Data was manually collected from LinkedIn, Naukri,Foundit, Internshala, and Unstop between 5 June 2026 to 7 June 2026.Only postings targeting 0–3 years experience were included. Postings with clear role-description mismatch were excluded. Salary analysis is based on 15 full-time postings with disclosed compensation (7.3% of full-time dataset) — figures are directional and not statistically conclusive at this sample size. Skills were identified via keyword search on raw job description text. Delhi NCR consolidates Delhi, Noida and Gurgaon as one hiring region. Dataset comprises 205 full-time and 25 internship postings. No personal, confidential, or proprietary data was used. This analysis is prepared for academic and career development purposes only.</t>
  </si>
  <si>
    <t xml:space="preserve">SQL was the single most demand skill appearing in 63% of all posyings , confirming its status as the non-negotiable baseline for entry into data roles in India.		
Excel ranked second at 37.39%, followed by Python at 34.78% and PowerBI at 27.39%. Notably PowerBI	significantly outspaced Tableau (27.39% vs 12.61%) refelecting Microsoft's stronger enterprise penetration in Indian Market compared to global trends where Tableau remains dominant.							</t>
  </si>
  <si>
    <t xml:space="preserve">230 postings were analyzed across 6 cities and 5 role types. Data Analyst was the most  posted role accounting for  26% of full-time postings, followed by Business Analyst at 25%. MIS Analyst , while less visible on platforms, showed concentrated demand in Delhi NCR and Mumbai markets with stringer BFSI and enterprise presence. Bengaluru dominated overall volume at 33.7% followed by Delhi NCR at 24.2% Chennai and Mumbai showed smaller but notable presence suggesting emerging demand beyond the traditional Bengaluru-Hyderabad corridor.						</t>
  </si>
  <si>
    <t xml:space="preserve">Salary opacity is the defining characteristic of India's data job market. Only 7.3% of full-time postings (16 of 205) disclosed compensation leaving the vast majority of candidates to negotiate without market reference.							
Among disclosed postings, median maximum salary was 4LPA and median minimum salry was 3 LPA with one outlier at 29 LPA excluded from central tendency calculations as it likely represennted a senior or misclassified role. 					
Platform wise, naukri showed the highest disclosure count at 15 postings(19.7% of its listings) while LinkedIn despite being the largest source, disclosed salary in only 1.33% of postings. This counter-intutive finding suggests Indian companies posting on LinkedIn may delibrately withhold compensation to retain negotiating leverage with candiadtes who associate LinkedIn with premium opportunities.							</t>
  </si>
  <si>
    <t xml:space="preserve">Bengaluru showed the strongest demand for Python and Data Engineering roles consistent with its startup and product company ecosystem. SQL:55, Python:27, PowerBI:25 were the top three skills.							
Delhi NCR demonstrated the broadest role diversity with meaningful presence accross all 5 roles the MIS Analyst concentration, reflecting demand for BFSI, government-adjacent, and large enterprise sectors headquartered in the capital region. Hyderabad showed disproportionate skill demand appearing as its third most required skill suggesting stronger data engineering pipeline work in its GCC (Global Capability Center) heavy ecosystem.							
Experience requirements were most fresher friendly in Pune, Delhi NCR and Mumbai where 67%,55% and 53% of postings respectively required zero prior experience compared to Bengaluru at 35% suggesting Tier-1 product companies in Bengaluru set higher bars even for entry level titles.						</t>
  </si>
  <si>
    <t xml:space="preserve">Data Analyst remain the most accessible entry point into data profession with highest posting volume and the broadest skill overlap SQL, Excel, PowerBI form a viable minimum skillset for this role. Business Analyst postings showed the highest frequency of communication and stakeholder management requirements alongside technical skills , suggesting a hybrid profile that bridges data and business teams.						
MIS Analyst, while underrepresented on platforms, offers a strategic entry point for freshers: lowercompetition, strong Excel and SQL alignment, and clear demand from enterprise and BFSI sectors where structured reporting drives day-to-day operations.							</t>
  </si>
  <si>
    <t xml:space="preserve">80% of postings required on-site presence, a striking contrast to the narrative of widespread remote work in the Indian tech sector, Remote and Hybrid roles combined accounted for only 10% of postings. Remote roles were concentrated in Bengaluru (2 postings) and skewed towards Data Engineering and Python-heavy profiles , consistent with global patterns where infrastructure and engineering roles retain more location flexibility than analyst and reporting roles.						
For freshers specifically, this finding has practical implications: geographic mobility , particularly willingness to relocate to Bengaluru or Delhi NCR significantly expands the addressable opportunity set.							</t>
  </si>
  <si>
    <t xml:space="preserve">1. SQL first, always appears in 63% of postings.No other investment has higher guaranteed ROI for a data role fresher in India. 																
2. Add Python next  the SQL+Python combination opens Data Analyst, Data Engineer, and Business Analyst roles simultaneously.															
3. Pick one visualization tool , Power BI for enterprise/corporate track, Tableau for product/startup track. Don't try to learn both simultaneously.														
4. Target MIS Analyst roles strategically, lower competition, strong Excel alignment, clear hiring volume in Delhi NCR and Mumbai.															
5. Be geographically flexible, 57% of postings are in Bengaluru and Delhi NCR combined. Remote roles are rare (5%) and skew senior.	                                                                                                                                                                                                                                                 												 6. Negotiate with data , only 7.3% of postings show salary. Use this report's median figures (Rs 3-4 LPA min, Rs 4-6 LPA max for freshers ) as your benchmark when negotiating blind.																		</t>
  </si>
  <si>
    <t>India Data Roles — Job Market Intelligence Dashboard 2026</t>
  </si>
  <si>
    <t>230 postings | 6 cities | 5 roles | 4 platforms | May–Jun 2026</t>
  </si>
  <si>
    <t>Total Job Postings</t>
  </si>
  <si>
    <t>Fulltime Postings</t>
  </si>
  <si>
    <t>Most Demanded Skill</t>
  </si>
  <si>
    <t>Salary Disclosure Rate</t>
  </si>
  <si>
    <t>Count</t>
  </si>
  <si>
    <t>Role</t>
  </si>
  <si>
    <t>Postings</t>
  </si>
  <si>
    <t>WorkMode</t>
  </si>
  <si>
    <t>Skill Demand Frequency</t>
  </si>
  <si>
    <t>Role Distribution</t>
  </si>
  <si>
    <t>Posting Volume by City</t>
  </si>
  <si>
    <t>Work Mode Distribution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</si>
</sst>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Aptos Narrow"/>
      <family val="2"/>
      <scheme val="minor"/>
    </font>
    <font>
      <b/>
      <sz val="11"/>
      <color theme="1"/>
      <name val="Aptos Narrow"/>
      <family val="2"/>
      <scheme val="minor"/>
    </font>
    <font>
      <b/>
      <sz val="16"/>
      <color theme="1"/>
      <name val="Aptos Narrow"/>
      <family val="2"/>
      <scheme val="minor"/>
    </font>
    <font>
      <i/>
      <sz val="11"/>
      <color theme="1"/>
      <name val="Aptos Narrow"/>
      <family val="2"/>
      <scheme val="minor"/>
    </font>
    <font>
      <sz val="11"/>
      <color theme="1"/>
      <name val="Aptos Narrow"/>
      <family val="2"/>
      <scheme val="minor"/>
    </font>
    <font>
      <sz val="12"/>
      <color theme="1"/>
      <name val="Aptos Narrow"/>
      <family val="2"/>
      <scheme val="minor"/>
    </font>
    <font>
      <sz val="14"/>
      <color theme="1"/>
      <name val="Aptos Narrow"/>
      <family val="2"/>
      <scheme val="minor"/>
    </font>
    <font>
      <sz val="20"/>
      <color theme="1"/>
      <name val="Aptos Narrow"/>
      <family val="2"/>
      <scheme val="minor"/>
    </font>
    <font>
      <sz val="18"/>
      <color theme="1"/>
      <name val="Aptos Narrow"/>
      <family val="2"/>
      <scheme val="minor"/>
    </font>
    <font>
      <sz val="10"/>
      <name val="Aptos Narrow"/>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FFCC"/>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CCFFCC"/>
        <bgColor indexed="64"/>
      </patternFill>
    </fill>
    <fill>
      <patternFill patternType="solid">
        <fgColor rgb="FFCCCCFF"/>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1" fillId="0" borderId="0" xfId="0" applyFont="1"/>
    <xf numFmtId="0" fontId="0" fillId="0" borderId="0" xfId="0" applyAlignment="1">
      <alignment wrapText="1"/>
    </xf>
    <xf numFmtId="3" fontId="0" fillId="0" borderId="0" xfId="0" applyNumberFormat="1"/>
    <xf numFmtId="10" fontId="0" fillId="0" borderId="0" xfId="0" applyNumberFormat="1"/>
    <xf numFmtId="0" fontId="3" fillId="0" borderId="0" xfId="0" applyFont="1"/>
    <xf numFmtId="0" fontId="0" fillId="0" borderId="0" xfId="0" applyAlignment="1">
      <alignment horizontal="left"/>
    </xf>
    <xf numFmtId="0" fontId="3" fillId="0" borderId="0" xfId="0" applyFont="1" applyAlignment="1">
      <alignment horizontal="left"/>
    </xf>
    <xf numFmtId="1" fontId="0" fillId="0" borderId="0" xfId="0" applyNumberFormat="1"/>
    <xf numFmtId="9" fontId="0" fillId="0" borderId="0" xfId="1" applyFont="1"/>
    <xf numFmtId="1" fontId="1" fillId="0" borderId="0" xfId="0" applyNumberFormat="1" applyFont="1"/>
    <xf numFmtId="9" fontId="1" fillId="0" borderId="0" xfId="1" applyFont="1"/>
    <xf numFmtId="0" fontId="6" fillId="0" borderId="0" xfId="0" applyFont="1"/>
    <xf numFmtId="0" fontId="0" fillId="0" borderId="0" xfId="0" applyAlignment="1">
      <alignment horizontal="left" vertical="center" wrapText="1"/>
    </xf>
    <xf numFmtId="0" fontId="9" fillId="0" borderId="0" xfId="0" applyFont="1" applyAlignment="1">
      <alignment vertical="center"/>
    </xf>
    <xf numFmtId="0" fontId="2" fillId="2" borderId="0" xfId="0" applyFont="1" applyFill="1" applyAlignment="1">
      <alignment horizontal="center" vertical="center"/>
    </xf>
    <xf numFmtId="0" fontId="1" fillId="3" borderId="0" xfId="0" applyFont="1" applyFill="1" applyAlignment="1">
      <alignment horizontal="center"/>
    </xf>
    <xf numFmtId="0" fontId="1" fillId="4" borderId="0" xfId="0" applyFont="1" applyFill="1" applyAlignment="1">
      <alignment horizontal="center"/>
    </xf>
    <xf numFmtId="0" fontId="0" fillId="0" borderId="0" xfId="0" applyAlignment="1">
      <alignment horizontal="left"/>
    </xf>
    <xf numFmtId="0" fontId="1" fillId="5" borderId="0" xfId="0" applyFont="1" applyFill="1" applyAlignment="1">
      <alignment horizontal="center"/>
    </xf>
    <xf numFmtId="0" fontId="1" fillId="6" borderId="0" xfId="0" applyFont="1" applyFill="1" applyAlignment="1">
      <alignment horizontal="center"/>
    </xf>
    <xf numFmtId="0" fontId="2" fillId="6"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1" fontId="1" fillId="10" borderId="0" xfId="0" applyNumberFormat="1" applyFont="1" applyFill="1" applyAlignment="1">
      <alignment horizontal="center"/>
    </xf>
    <xf numFmtId="0" fontId="5" fillId="15" borderId="0" xfId="0" applyFont="1" applyFill="1" applyAlignment="1">
      <alignment horizontal="center"/>
    </xf>
    <xf numFmtId="0" fontId="5" fillId="16" borderId="0" xfId="0" applyFont="1" applyFill="1" applyAlignment="1">
      <alignment horizontal="center"/>
    </xf>
    <xf numFmtId="0" fontId="0" fillId="0" borderId="0" xfId="0" applyAlignment="1">
      <alignment vertical="center" wrapText="1"/>
    </xf>
    <xf numFmtId="0" fontId="0" fillId="0" borderId="0" xfId="0" applyAlignment="1">
      <alignment vertical="center"/>
    </xf>
    <xf numFmtId="0" fontId="5" fillId="10" borderId="0" xfId="0" applyFont="1" applyFill="1" applyAlignment="1">
      <alignment horizontal="center"/>
    </xf>
    <xf numFmtId="0" fontId="5" fillId="12" borderId="0" xfId="0" applyFont="1" applyFill="1" applyAlignment="1">
      <alignment horizontal="center"/>
    </xf>
    <xf numFmtId="0" fontId="6" fillId="13" borderId="0" xfId="0" applyFont="1" applyFill="1"/>
    <xf numFmtId="0" fontId="0" fillId="0" borderId="0" xfId="0" applyAlignment="1">
      <alignment wrapText="1"/>
    </xf>
    <xf numFmtId="0" fontId="0" fillId="0" borderId="0" xfId="0"/>
    <xf numFmtId="0" fontId="6" fillId="13"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6" fillId="13" borderId="0" xfId="0" applyFont="1" applyFill="1" applyAlignment="1">
      <alignment horizontal="center"/>
    </xf>
    <xf numFmtId="0" fontId="5" fillId="14" borderId="0" xfId="0" applyFont="1" applyFill="1" applyAlignment="1">
      <alignment horizontal="center"/>
    </xf>
    <xf numFmtId="0" fontId="5" fillId="5" borderId="0" xfId="0" applyFont="1" applyFill="1" applyAlignment="1">
      <alignment horizontal="center"/>
    </xf>
    <xf numFmtId="0" fontId="0" fillId="5" borderId="0" xfId="0" applyFill="1" applyAlignment="1">
      <alignment horizontal="center"/>
    </xf>
    <xf numFmtId="0" fontId="7" fillId="6" borderId="0" xfId="0" applyFont="1" applyFill="1" applyAlignment="1">
      <alignment horizontal="center"/>
    </xf>
    <xf numFmtId="0" fontId="5" fillId="11" borderId="0" xfId="0" applyFont="1" applyFill="1" applyAlignment="1">
      <alignment horizontal="center"/>
    </xf>
    <xf numFmtId="0" fontId="0" fillId="10" borderId="0" xfId="0" applyFill="1" applyAlignment="1">
      <alignment horizontal="center"/>
    </xf>
    <xf numFmtId="0" fontId="6" fillId="12" borderId="0" xfId="0" applyFont="1" applyFill="1"/>
    <xf numFmtId="0" fontId="1" fillId="0" borderId="0" xfId="0" applyFont="1" applyAlignment="1">
      <alignment horizontal="center"/>
    </xf>
    <xf numFmtId="0" fontId="0" fillId="2" borderId="0" xfId="0" applyFill="1" applyAlignment="1">
      <alignment horizontal="center"/>
    </xf>
    <xf numFmtId="0" fontId="8" fillId="6" borderId="0" xfId="0" applyFont="1" applyFill="1" applyAlignment="1">
      <alignment horizontal="center"/>
    </xf>
    <xf numFmtId="0" fontId="5" fillId="17" borderId="0" xfId="0" applyFont="1" applyFill="1" applyAlignment="1">
      <alignment horizontal="center"/>
    </xf>
    <xf numFmtId="0" fontId="8" fillId="2" borderId="0" xfId="0" applyFont="1" applyFill="1" applyAlignment="1">
      <alignment horizontal="center" vertical="center"/>
    </xf>
    <xf numFmtId="10" fontId="8" fillId="2" borderId="0" xfId="0" applyNumberFormat="1"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CCCCFF"/>
      <color rgb="FFFFCC66"/>
      <color rgb="FFCCFFCC"/>
      <color rgb="FF99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Demand Frequency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DASHBOARD!$V$1</c:f>
              <c:strCache>
                <c:ptCount val="1"/>
                <c:pt idx="0">
                  <c:v>Count</c:v>
                </c:pt>
              </c:strCache>
            </c:strRef>
          </c:tx>
          <c:spPr>
            <a:solidFill>
              <a:schemeClr val="accent1"/>
            </a:solidFill>
            <a:ln>
              <a:noFill/>
            </a:ln>
            <a:effectLst/>
          </c:spPr>
          <c:invertIfNegative val="0"/>
          <c:cat>
            <c:strRef>
              <c:f>DASHBOARD!$U$2:$U$8</c:f>
              <c:strCache>
                <c:ptCount val="7"/>
                <c:pt idx="0">
                  <c:v>SQL</c:v>
                </c:pt>
                <c:pt idx="1">
                  <c:v>Excel</c:v>
                </c:pt>
                <c:pt idx="2">
                  <c:v>Python</c:v>
                </c:pt>
                <c:pt idx="3">
                  <c:v>PowerBI</c:v>
                </c:pt>
                <c:pt idx="4">
                  <c:v>ETL</c:v>
                </c:pt>
                <c:pt idx="5">
                  <c:v>PySpark</c:v>
                </c:pt>
                <c:pt idx="6">
                  <c:v>Tableau</c:v>
                </c:pt>
              </c:strCache>
            </c:strRef>
          </c:cat>
          <c:val>
            <c:numRef>
              <c:f>DASHBOARD!$V$2:$V$8</c:f>
              <c:numCache>
                <c:formatCode>General</c:formatCode>
                <c:ptCount val="7"/>
                <c:pt idx="0">
                  <c:v>144</c:v>
                </c:pt>
                <c:pt idx="1">
                  <c:v>86</c:v>
                </c:pt>
                <c:pt idx="2">
                  <c:v>80</c:v>
                </c:pt>
                <c:pt idx="3">
                  <c:v>63</c:v>
                </c:pt>
                <c:pt idx="4">
                  <c:v>44</c:v>
                </c:pt>
                <c:pt idx="5">
                  <c:v>32</c:v>
                </c:pt>
                <c:pt idx="6">
                  <c:v>29</c:v>
                </c:pt>
              </c:numCache>
            </c:numRef>
          </c:val>
          <c:extLst xmlns:c16r2="http://schemas.microsoft.com/office/drawing/2015/06/chart">
            <c:ext xmlns:c16="http://schemas.microsoft.com/office/drawing/2014/chart" uri="{C3380CC4-5D6E-409C-BE32-E72D297353CC}">
              <c16:uniqueId val="{00000000-84C1-4F38-86C5-D6C09C2DD5BF}"/>
            </c:ext>
          </c:extLst>
        </c:ser>
        <c:dLbls>
          <c:showLegendKey val="0"/>
          <c:showVal val="0"/>
          <c:showCatName val="0"/>
          <c:showSerName val="0"/>
          <c:showPercent val="0"/>
          <c:showBubbleSize val="0"/>
        </c:dLbls>
        <c:gapWidth val="219"/>
        <c:overlap val="-27"/>
        <c:axId val="322649280"/>
        <c:axId val="322653984"/>
      </c:barChart>
      <c:catAx>
        <c:axId val="3226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3984"/>
        <c:crosses val="autoZero"/>
        <c:auto val="1"/>
        <c:lblAlgn val="ctr"/>
        <c:lblOffset val="100"/>
        <c:noMultiLvlLbl val="0"/>
      </c:catAx>
      <c:valAx>
        <c:axId val="3226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49280"/>
        <c:crosses val="autoZero"/>
        <c:crossBetween val="between"/>
      </c:valAx>
      <c:spPr>
        <a:noFill/>
        <a:ln>
          <a:noFill/>
        </a:ln>
        <a:effectLst/>
      </c:spPr>
    </c:plotArea>
    <c:plotVisOnly val="0"/>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Role</a:t>
            </a:r>
            <a:r>
              <a:rPr lang="en-IN" baseline="0"/>
              <a:t> Distribution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DASHBOARD!$V$12</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DASHBOARD!$V$13:$V$17</c:f>
              <c:numCache>
                <c:formatCode>General</c:formatCode>
                <c:ptCount val="5"/>
              </c:numCache>
            </c:numRef>
          </c:val>
          <c:extLst xmlns:c16r2="http://schemas.microsoft.com/office/drawing/2015/06/chart">
            <c:ext xmlns:c16="http://schemas.microsoft.com/office/drawing/2014/chart" uri="{C3380CC4-5D6E-409C-BE32-E72D297353CC}">
              <c16:uniqueId val="{00000000-6E05-42EE-8BA5-8D7EF2EA68D2}"/>
            </c:ext>
          </c:extLst>
        </c:ser>
        <c:ser>
          <c:idx val="1"/>
          <c:order val="1"/>
          <c:tx>
            <c:strRef>
              <c:f>DASHBOARD!$W$12</c:f>
              <c:strCache>
                <c:ptCount val="1"/>
                <c:pt idx="0">
                  <c:v>Count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5-6E05-42EE-8BA5-8D7EF2EA68D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4-6E05-42EE-8BA5-8D7EF2EA68D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8-6E05-42EE-8BA5-8D7EF2EA68D2}"/>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6E05-42EE-8BA5-8D7EF2EA68D2}"/>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6-6E05-42EE-8BA5-8D7EF2EA68D2}"/>
              </c:ext>
            </c:extLst>
          </c:dPt>
          <c:dLbls>
            <c:dLbl>
              <c:idx val="0"/>
              <c:layout>
                <c:manualLayout>
                  <c:x val="6.5888204673393291E-2"/>
                  <c:y val="-5.9036130576764448E-2"/>
                </c:manualLayout>
              </c:layout>
              <c:tx>
                <c:rich>
                  <a:bodyPr/>
                  <a:lstStyle/>
                  <a:p>
                    <a:r>
                      <a:rPr lang="en-US"/>
                      <a:t>28%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6E05-42EE-8BA5-8D7EF2EA68D2}"/>
                </c:ext>
                <c:ext xmlns:c15="http://schemas.microsoft.com/office/drawing/2012/chart" uri="{CE6537A1-D6FC-4f65-9D91-7224C49458BB}">
                  <c15:layout/>
                </c:ext>
              </c:extLst>
            </c:dLbl>
            <c:dLbl>
              <c:idx val="1"/>
              <c:layout>
                <c:manualLayout>
                  <c:x val="8.6695006149201698E-2"/>
                  <c:y val="3.4437742836445899E-2"/>
                </c:manualLayout>
              </c:layout>
              <c:tx>
                <c:rich>
                  <a:bodyPr/>
                  <a:lstStyle/>
                  <a:p>
                    <a:r>
                      <a:rPr lang="en-US"/>
                      <a:t>25%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6E05-42EE-8BA5-8D7EF2EA68D2}"/>
                </c:ext>
                <c:ext xmlns:c15="http://schemas.microsoft.com/office/drawing/2012/chart" uri="{CE6537A1-D6FC-4f65-9D91-7224C49458BB}">
                  <c15:layout/>
                </c:ext>
              </c:extLst>
            </c:dLbl>
            <c:dLbl>
              <c:idx val="2"/>
              <c:layout>
                <c:manualLayout>
                  <c:x val="-7.2823805165329492E-2"/>
                  <c:y val="6.3955808124828012E-2"/>
                </c:manualLayout>
              </c:layout>
              <c:tx>
                <c:rich>
                  <a:bodyPr/>
                  <a:lstStyle/>
                  <a:p>
                    <a:r>
                      <a:rPr lang="en-US"/>
                      <a:t>26%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6E05-42EE-8BA5-8D7EF2EA68D2}"/>
                </c:ext>
                <c:ext xmlns:c15="http://schemas.microsoft.com/office/drawing/2012/chart" uri="{CE6537A1-D6FC-4f65-9D91-7224C49458BB}">
                  <c15:layout/>
                </c:ext>
              </c:extLst>
            </c:dLbl>
            <c:dLbl>
              <c:idx val="3"/>
              <c:layout>
                <c:manualLayout>
                  <c:x val="-9.7098406887105901E-2"/>
                  <c:y val="-4.4277097932573305E-2"/>
                </c:manualLayout>
              </c:layout>
              <c:tx>
                <c:rich>
                  <a:bodyPr/>
                  <a:lstStyle/>
                  <a:p>
                    <a:r>
                      <a:rPr lang="en-US"/>
                      <a:t>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6E05-42EE-8BA5-8D7EF2EA68D2}"/>
                </c:ext>
                <c:ext xmlns:c15="http://schemas.microsoft.com/office/drawing/2012/chart" uri="{CE6537A1-D6FC-4f65-9D91-7224C49458BB}">
                  <c15:layout/>
                </c:ext>
              </c:extLst>
            </c:dLbl>
            <c:dLbl>
              <c:idx val="4"/>
              <c:layout>
                <c:manualLayout>
                  <c:x val="-3.1210202213712675E-2"/>
                  <c:y val="-0.12791161624965619"/>
                </c:manualLayout>
              </c:layout>
              <c:tx>
                <c:rich>
                  <a:bodyPr/>
                  <a:lstStyle/>
                  <a:p>
                    <a:r>
                      <a:rPr lang="en-US"/>
                      <a:t>10%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6E05-42EE-8BA5-8D7EF2EA68D2}"/>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DASHBOARD!$U$13:$U$17</c:f>
              <c:strCache>
                <c:ptCount val="5"/>
                <c:pt idx="0">
                  <c:v>Data Analyst</c:v>
                </c:pt>
                <c:pt idx="1">
                  <c:v>Business Analyst</c:v>
                </c:pt>
                <c:pt idx="2">
                  <c:v>Data Engineer</c:v>
                </c:pt>
                <c:pt idx="3">
                  <c:v>BI Developer</c:v>
                </c:pt>
                <c:pt idx="4">
                  <c:v>MIS Analyst</c:v>
                </c:pt>
              </c:strCache>
            </c:strRef>
          </c:cat>
          <c:val>
            <c:numRef>
              <c:f>DASHBOARD!$W$13:$W$17</c:f>
              <c:numCache>
                <c:formatCode>General</c:formatCode>
                <c:ptCount val="5"/>
                <c:pt idx="0">
                  <c:v>65</c:v>
                </c:pt>
                <c:pt idx="1">
                  <c:v>59</c:v>
                </c:pt>
                <c:pt idx="2">
                  <c:v>60</c:v>
                </c:pt>
                <c:pt idx="3">
                  <c:v>22</c:v>
                </c:pt>
                <c:pt idx="4">
                  <c:v>23</c:v>
                </c:pt>
              </c:numCache>
            </c:numRef>
          </c:val>
          <c:extLst xmlns:c16r2="http://schemas.microsoft.com/office/drawing/2015/06/chart">
            <c:ext xmlns:c16="http://schemas.microsoft.com/office/drawing/2014/chart" uri="{C3380CC4-5D6E-409C-BE32-E72D297353CC}">
              <c16:uniqueId val="{00000001-6E05-42EE-8BA5-8D7EF2EA68D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chemeClr val="tx2">
          <a:lumMod val="25000"/>
          <a:lumOff val="75000"/>
          <a:alpha val="90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Posting</a:t>
            </a:r>
            <a:r>
              <a:rPr lang="en-IN" baseline="0"/>
              <a:t> Volume by City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DASHBOARD!$V$20</c:f>
              <c:strCache>
                <c:ptCount val="1"/>
                <c:pt idx="0">
                  <c:v>Postings</c:v>
                </c:pt>
              </c:strCache>
            </c:strRef>
          </c:tx>
          <c:spPr>
            <a:solidFill>
              <a:schemeClr val="accent1"/>
            </a:solidFill>
            <a:ln>
              <a:noFill/>
            </a:ln>
            <a:effectLst/>
          </c:spPr>
          <c:invertIfNegative val="0"/>
          <c:cat>
            <c:strRef>
              <c:f>DASHBOARD!$U$21:$U$26</c:f>
              <c:strCache>
                <c:ptCount val="6"/>
                <c:pt idx="0">
                  <c:v>Bengaluru</c:v>
                </c:pt>
                <c:pt idx="1">
                  <c:v>Delhi NCR</c:v>
                </c:pt>
                <c:pt idx="2">
                  <c:v>Hyderabad</c:v>
                </c:pt>
                <c:pt idx="3">
                  <c:v>Pune</c:v>
                </c:pt>
                <c:pt idx="4">
                  <c:v>Mumbai</c:v>
                </c:pt>
                <c:pt idx="5">
                  <c:v>Chennai</c:v>
                </c:pt>
              </c:strCache>
            </c:strRef>
          </c:cat>
          <c:val>
            <c:numRef>
              <c:f>DASHBOARD!$V$21:$V$26</c:f>
              <c:numCache>
                <c:formatCode>General</c:formatCode>
                <c:ptCount val="6"/>
                <c:pt idx="0">
                  <c:v>78</c:v>
                </c:pt>
                <c:pt idx="1">
                  <c:v>56</c:v>
                </c:pt>
                <c:pt idx="2">
                  <c:v>28</c:v>
                </c:pt>
                <c:pt idx="3">
                  <c:v>24</c:v>
                </c:pt>
                <c:pt idx="4">
                  <c:v>19</c:v>
                </c:pt>
                <c:pt idx="5">
                  <c:v>16</c:v>
                </c:pt>
              </c:numCache>
            </c:numRef>
          </c:val>
          <c:extLst xmlns:c16r2="http://schemas.microsoft.com/office/drawing/2015/06/chart">
            <c:ext xmlns:c16="http://schemas.microsoft.com/office/drawing/2014/chart" uri="{C3380CC4-5D6E-409C-BE32-E72D297353CC}">
              <c16:uniqueId val="{00000000-8348-4C13-9AA8-C2EC3CBC09A9}"/>
            </c:ext>
          </c:extLst>
        </c:ser>
        <c:dLbls>
          <c:showLegendKey val="0"/>
          <c:showVal val="0"/>
          <c:showCatName val="0"/>
          <c:showSerName val="0"/>
          <c:showPercent val="0"/>
          <c:showBubbleSize val="0"/>
        </c:dLbls>
        <c:gapWidth val="219"/>
        <c:overlap val="-27"/>
        <c:axId val="322650456"/>
        <c:axId val="322650848"/>
      </c:barChart>
      <c:catAx>
        <c:axId val="32265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0848"/>
        <c:crosses val="autoZero"/>
        <c:auto val="1"/>
        <c:lblAlgn val="ctr"/>
        <c:lblOffset val="100"/>
        <c:noMultiLvlLbl val="0"/>
      </c:catAx>
      <c:valAx>
        <c:axId val="32265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650456"/>
        <c:crosses val="autoZero"/>
        <c:crossBetween val="between"/>
      </c:valAx>
      <c:spPr>
        <a:noFill/>
        <a:ln>
          <a:noFill/>
        </a:ln>
        <a:effectLst/>
      </c:spPr>
    </c:plotArea>
    <c:plotVisOnly val="0"/>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chemeClr val="tx2">
          <a:lumMod val="25000"/>
          <a:lumOff val="75000"/>
          <a:alpha val="90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Mode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DASHBOARD!$V$29</c:f>
              <c:strCache>
                <c:ptCount val="1"/>
                <c:pt idx="0">
                  <c:v>Count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680-4C1F-B431-5584294C157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680-4C1F-B431-5584294C157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2-B680-4C1F-B431-5584294C1579}"/>
              </c:ext>
            </c:extLst>
          </c:dPt>
          <c:dLbls>
            <c:dLbl>
              <c:idx val="0"/>
              <c:layout>
                <c:manualLayout>
                  <c:x val="9.2694587390206334E-2"/>
                  <c:y val="-7.0473885901405645E-2"/>
                </c:manualLayout>
              </c:layout>
              <c:tx>
                <c:rich>
                  <a:bodyPr/>
                  <a:lstStyle/>
                  <a:p>
                    <a:r>
                      <a:rPr lang="en-US"/>
                      <a:t>87%</a:t>
                    </a:r>
                  </a:p>
                </c:rich>
              </c:tx>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680-4C1F-B431-5584294C1579}"/>
                </c:ext>
                <c:ext xmlns:c15="http://schemas.microsoft.com/office/drawing/2012/chart" uri="{CE6537A1-D6FC-4f65-9D91-7224C49458BB}">
                  <c15:layout/>
                </c:ext>
              </c:extLst>
            </c:dLbl>
            <c:dLbl>
              <c:idx val="1"/>
              <c:layout>
                <c:manualLayout>
                  <c:x val="-4.8236387058483071E-2"/>
                  <c:y val="3.3243381108644783E-2"/>
                </c:manualLayout>
              </c:layout>
              <c:tx>
                <c:rich>
                  <a:bodyPr/>
                  <a:lstStyle/>
                  <a:p>
                    <a:r>
                      <a:rPr lang="en-US"/>
                      <a:t>4%</a:t>
                    </a:r>
                  </a:p>
                </c:rich>
              </c:tx>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680-4C1F-B431-5584294C1579}"/>
                </c:ext>
                <c:ext xmlns:c15="http://schemas.microsoft.com/office/drawing/2012/chart" uri="{CE6537A1-D6FC-4f65-9D91-7224C49458BB}">
                  <c15:layout/>
                </c:ext>
              </c:extLst>
            </c:dLbl>
            <c:dLbl>
              <c:idx val="2"/>
              <c:layout>
                <c:manualLayout>
                  <c:x val="1.8774604104564017E-2"/>
                  <c:y val="-2.9920585256240459E-2"/>
                </c:manualLayout>
              </c:layout>
              <c:tx>
                <c:rich>
                  <a:bodyPr/>
                  <a:lstStyle/>
                  <a:p>
                    <a:r>
                      <a:rPr lang="en-US"/>
                      <a:t>5%</a:t>
                    </a:r>
                  </a:p>
                </c:rich>
              </c:tx>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680-4C1F-B431-5584294C1579}"/>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DASHBOARD!$U$30:$U$32</c:f>
              <c:strCache>
                <c:ptCount val="3"/>
                <c:pt idx="0">
                  <c:v>On-site</c:v>
                </c:pt>
                <c:pt idx="1">
                  <c:v>Hybrid</c:v>
                </c:pt>
                <c:pt idx="2">
                  <c:v>Remote</c:v>
                </c:pt>
              </c:strCache>
            </c:strRef>
          </c:cat>
          <c:val>
            <c:numRef>
              <c:f>DASHBOARD!$V$30:$V$32</c:f>
              <c:numCache>
                <c:formatCode>General</c:formatCode>
                <c:ptCount val="3"/>
                <c:pt idx="0">
                  <c:v>202</c:v>
                </c:pt>
                <c:pt idx="1">
                  <c:v>11</c:v>
                </c:pt>
                <c:pt idx="2">
                  <c:v>12</c:v>
                </c:pt>
              </c:numCache>
            </c:numRef>
          </c:val>
          <c:extLst xmlns:c16r2="http://schemas.microsoft.com/office/drawing/2015/06/chart">
            <c:ext xmlns:c16="http://schemas.microsoft.com/office/drawing/2014/chart" uri="{C3380CC4-5D6E-409C-BE32-E72D297353CC}">
              <c16:uniqueId val="{00000000-B680-4C1F-B431-5584294C15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0000"/>
        </a:schemeClr>
      </a:solidFill>
      <a:round/>
    </a:ln>
    <a:effectLst>
      <a:outerShdw blurRad="50800" dist="50800" dir="5400000" algn="ctr" rotWithShape="0">
        <a:schemeClr val="tx2">
          <a:lumMod val="25000"/>
          <a:lumOff val="75000"/>
          <a:alpha val="90000"/>
        </a:scheme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15240</xdr:colOff>
      <xdr:row>11</xdr:row>
      <xdr:rowOff>0</xdr:rowOff>
    </xdr:from>
    <xdr:to>
      <xdr:col>8</xdr:col>
      <xdr:colOff>0</xdr:colOff>
      <xdr:row>24</xdr:row>
      <xdr:rowOff>155510</xdr:rowOff>
    </xdr:to>
    <xdr:graphicFrame macro="">
      <xdr:nvGraphicFramePr>
        <xdr:cNvPr id="7" name="Chart 6">
          <a:extLst>
            <a:ext uri="{FF2B5EF4-FFF2-40B4-BE49-F238E27FC236}">
              <a16:creationId xmlns:a16="http://schemas.microsoft.com/office/drawing/2014/main" xmlns="" id="{26B6E7B7-3F9C-A882-2385-2424FC578D15}"/>
            </a:ext>
            <a:ext uri="{C183D7F6-B498-43B3-948B-1728B52AA6E4}">
              <adec:decorative xmlns:adec="http://schemas.microsoft.com/office/drawing/2017/decorative" xmlns=""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xdr:colOff>
      <xdr:row>11</xdr:row>
      <xdr:rowOff>15552</xdr:rowOff>
    </xdr:from>
    <xdr:to>
      <xdr:col>16</xdr:col>
      <xdr:colOff>23326</xdr:colOff>
      <xdr:row>24</xdr:row>
      <xdr:rowOff>171062</xdr:rowOff>
    </xdr:to>
    <xdr:graphicFrame macro="">
      <xdr:nvGraphicFramePr>
        <xdr:cNvPr id="2" name="Chart 1" descr="Pie cgart showing distribution of various roles">
          <a:extLst>
            <a:ext uri="{FF2B5EF4-FFF2-40B4-BE49-F238E27FC236}">
              <a16:creationId xmlns:a16="http://schemas.microsoft.com/office/drawing/2014/main" xmlns="" id="{61019121-C68B-F14D-C31A-4AE5AAD25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29</xdr:row>
      <xdr:rowOff>15395</xdr:rowOff>
    </xdr:from>
    <xdr:to>
      <xdr:col>8</xdr:col>
      <xdr:colOff>7620</xdr:colOff>
      <xdr:row>42</xdr:row>
      <xdr:rowOff>178837</xdr:rowOff>
    </xdr:to>
    <xdr:graphicFrame macro="">
      <xdr:nvGraphicFramePr>
        <xdr:cNvPr id="8" name="Chart 7" descr="Job postings volume by City bar chart">
          <a:extLst>
            <a:ext uri="{FF2B5EF4-FFF2-40B4-BE49-F238E27FC236}">
              <a16:creationId xmlns:a16="http://schemas.microsoft.com/office/drawing/2014/main" xmlns="" id="{D41CC0ED-F568-1479-3A18-DD5F4A483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18972</xdr:colOff>
      <xdr:row>29</xdr:row>
      <xdr:rowOff>7619</xdr:rowOff>
    </xdr:from>
    <xdr:to>
      <xdr:col>16</xdr:col>
      <xdr:colOff>46342</xdr:colOff>
      <xdr:row>42</xdr:row>
      <xdr:rowOff>175259</xdr:rowOff>
    </xdr:to>
    <xdr:graphicFrame macro="">
      <xdr:nvGraphicFramePr>
        <xdr:cNvPr id="9" name="Chart 8" descr="Work Mode Distribution represented by Pie chart">
          <a:extLst>
            <a:ext uri="{FF2B5EF4-FFF2-40B4-BE49-F238E27FC236}">
              <a16:creationId xmlns:a16="http://schemas.microsoft.com/office/drawing/2014/main" xmlns="" id="{032B38BF-53DE-514C-0B53-E24AE711C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606179</xdr:colOff>
          <xdr:row>47</xdr:row>
          <xdr:rowOff>15395</xdr:rowOff>
        </xdr:from>
        <xdr:to>
          <xdr:col>10</xdr:col>
          <xdr:colOff>205429</xdr:colOff>
          <xdr:row>55</xdr:row>
          <xdr:rowOff>23015</xdr:rowOff>
        </xdr:to>
        <xdr:pic>
          <xdr:nvPicPr>
            <xdr:cNvPr id="10" name="Picture 9" descr="Heatmap showing role distribution by city">
              <a:extLst>
                <a:ext uri="{FF2B5EF4-FFF2-40B4-BE49-F238E27FC236}">
                  <a16:creationId xmlns:a16="http://schemas.microsoft.com/office/drawing/2014/main" xmlns="" id="{ACF65374-E3F5-9128-6452-683E84F18B96}"/>
                </a:ext>
              </a:extLst>
            </xdr:cNvPr>
            <xdr:cNvPicPr>
              <a:picLocks noChangeAspect="1" noChangeArrowheads="1"/>
              <a:extLst>
                <a:ext uri="{84589F7E-364E-4C9E-8A38-B11213B215E9}">
                  <a14:cameraTool cellRange="CITY_TRENDS!$A$18:$F$25" spid="_x0000_s1037"/>
                </a:ext>
              </a:extLst>
            </xdr:cNvPicPr>
          </xdr:nvPicPr>
          <xdr:blipFill>
            <a:blip xmlns:r="http://schemas.openxmlformats.org/officeDocument/2006/relationships" r:embed="rId5"/>
            <a:srcRect/>
            <a:stretch>
              <a:fillRect/>
            </a:stretch>
          </xdr:blipFill>
          <xdr:spPr bwMode="auto">
            <a:xfrm>
              <a:off x="1212669" y="8902803"/>
              <a:ext cx="5057658" cy="1500518"/>
            </a:xfrm>
            <a:prstGeom prst="rect">
              <a:avLst/>
            </a:prstGeom>
            <a:noFill/>
            <a:ln>
              <a:solidFill>
                <a:schemeClr val="accent1">
                  <a:alpha val="80000"/>
                </a:schemeClr>
              </a:solidFill>
            </a:ln>
            <a:effectLst>
              <a:outerShdw blurRad="50800" dist="50800" dir="5400000" algn="ctr" rotWithShape="0">
                <a:schemeClr val="tx2">
                  <a:lumMod val="25000"/>
                  <a:lumOff val="75000"/>
                  <a:alpha val="90000"/>
                </a:schemeClr>
              </a:outerShdw>
            </a:effectLst>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AW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s>
    <sheetDataSet>
      <sheetData sheetId="0">
        <row r="1">
          <cell r="A1" t="str">
            <v>Job_ID</v>
          </cell>
          <cell r="C1" t="str">
            <v>Source_Portal</v>
          </cell>
          <cell r="D1" t="str">
            <v>Job_Title</v>
          </cell>
          <cell r="F1" t="str">
            <v>City</v>
          </cell>
          <cell r="G1" t="str">
            <v>Experience_Min(years)</v>
          </cell>
          <cell r="H1" t="str">
            <v>Experience_Max(years)</v>
          </cell>
          <cell r="I1" t="str">
            <v>Salary_Min(LPA)</v>
          </cell>
          <cell r="M1" t="str">
            <v>Remote_Option</v>
          </cell>
          <cell r="O1" t="str">
            <v>SQL</v>
          </cell>
          <cell r="P1" t="str">
            <v>Python</v>
          </cell>
          <cell r="Q1" t="str">
            <v>PowerBI</v>
          </cell>
          <cell r="R1" t="str">
            <v>Tableau</v>
          </cell>
          <cell r="S1" t="str">
            <v>Excel</v>
          </cell>
          <cell r="T1" t="str">
            <v>Statistics</v>
          </cell>
          <cell r="U1" t="str">
            <v>AWS</v>
          </cell>
          <cell r="V1" t="str">
            <v>GCP</v>
          </cell>
          <cell r="W1" t="str">
            <v>NoSQL</v>
          </cell>
          <cell r="X1" t="str">
            <v>Data Modeling</v>
          </cell>
          <cell r="Y1" t="str">
            <v>Pandas</v>
          </cell>
          <cell r="Z1" t="str">
            <v>Numpy</v>
          </cell>
          <cell r="AA1" t="str">
            <v>Pyspark</v>
          </cell>
          <cell r="AB1" t="str">
            <v>Hadoop</v>
          </cell>
          <cell r="AC1" t="str">
            <v>ETL</v>
          </cell>
          <cell r="AD1" t="str">
            <v>Azure</v>
          </cell>
          <cell r="AE1" t="str">
            <v>Databricks</v>
          </cell>
          <cell r="AF1" t="str">
            <v>A/B Testing</v>
          </cell>
          <cell r="AG1" t="str">
            <v>Snowflake</v>
          </cell>
          <cell r="AH1" t="str">
            <v>Agile</v>
          </cell>
          <cell r="AI1" t="str">
            <v>Jira</v>
          </cell>
          <cell r="AJ1" t="str">
            <v>Git &amp; Github</v>
          </cell>
          <cell r="AK1" t="str">
            <v>MIS Reporting</v>
          </cell>
          <cell r="AL1" t="str">
            <v>CI/CD</v>
          </cell>
          <cell r="AM1" t="str">
            <v>Python_pref</v>
          </cell>
          <cell r="AN1" t="str">
            <v>SQL_pref</v>
          </cell>
          <cell r="AO1" t="str">
            <v>Airflow_pref</v>
          </cell>
          <cell r="AP1" t="str">
            <v>Kafka_pref</v>
          </cell>
          <cell r="AQ1" t="str">
            <v>ML_pref</v>
          </cell>
          <cell r="AR1" t="str">
            <v>API_pref</v>
          </cell>
          <cell r="AS1" t="str">
            <v>Docker_pref</v>
          </cell>
          <cell r="AT1" t="str">
            <v>dbt_pref</v>
          </cell>
          <cell r="AU1" t="str">
            <v>AWS_pref</v>
          </cell>
          <cell r="AV1" t="str">
            <v>GCP_pref</v>
          </cell>
          <cell r="AW1" t="str">
            <v>Azure_pref</v>
          </cell>
          <cell r="AX1" t="str">
            <v>Tableau_pref</v>
          </cell>
          <cell r="AY1" t="str">
            <v>PowerBI_pref</v>
          </cell>
          <cell r="AZ1" t="str">
            <v>Employment_Type</v>
          </cell>
        </row>
        <row r="2">
          <cell r="A2">
            <v>1</v>
          </cell>
          <cell r="C2" t="str">
            <v>LinkedIn</v>
          </cell>
          <cell r="D2" t="str">
            <v>Data Analyst</v>
          </cell>
          <cell r="F2" t="str">
            <v>Bengaluru</v>
          </cell>
          <cell r="G2">
            <v>4</v>
          </cell>
          <cell r="H2">
            <v>6</v>
          </cell>
          <cell r="I2" t="str">
            <v>ND</v>
          </cell>
          <cell r="M2" t="str">
            <v>ND</v>
          </cell>
          <cell r="O2">
            <v>1</v>
          </cell>
          <cell r="P2">
            <v>1</v>
          </cell>
          <cell r="Q2">
            <v>0</v>
          </cell>
          <cell r="R2">
            <v>1</v>
          </cell>
          <cell r="S2">
            <v>1</v>
          </cell>
          <cell r="T2">
            <v>0</v>
          </cell>
          <cell r="U2">
            <v>0</v>
          </cell>
          <cell r="V2">
            <v>0</v>
          </cell>
          <cell r="W2">
            <v>0</v>
          </cell>
          <cell r="X2">
            <v>0</v>
          </cell>
          <cell r="Y2">
            <v>1</v>
          </cell>
          <cell r="Z2">
            <v>1</v>
          </cell>
          <cell r="AA2">
            <v>0</v>
          </cell>
          <cell r="AB2">
            <v>0</v>
          </cell>
          <cell r="AC2">
            <v>0</v>
          </cell>
          <cell r="AD2">
            <v>0</v>
          </cell>
          <cell r="AE2">
            <v>0</v>
          </cell>
          <cell r="AF2">
            <v>1</v>
          </cell>
          <cell r="AG2">
            <v>1</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t="str">
            <v>Fulltime</v>
          </cell>
        </row>
        <row r="3">
          <cell r="A3">
            <v>2</v>
          </cell>
          <cell r="C3" t="str">
            <v>LinkedIn</v>
          </cell>
          <cell r="D3" t="str">
            <v>Data Analyst</v>
          </cell>
          <cell r="F3" t="str">
            <v>Bengaluru</v>
          </cell>
          <cell r="G3">
            <v>3</v>
          </cell>
          <cell r="H3">
            <v>5</v>
          </cell>
          <cell r="I3" t="str">
            <v>ND</v>
          </cell>
          <cell r="M3" t="str">
            <v>ND</v>
          </cell>
          <cell r="O3">
            <v>1</v>
          </cell>
          <cell r="P3">
            <v>1</v>
          </cell>
          <cell r="Q3">
            <v>0</v>
          </cell>
          <cell r="R3">
            <v>0</v>
          </cell>
          <cell r="S3">
            <v>1</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1</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t="str">
            <v>Fulltime</v>
          </cell>
        </row>
        <row r="4">
          <cell r="A4">
            <v>3</v>
          </cell>
          <cell r="C4" t="str">
            <v>LinkedIn</v>
          </cell>
          <cell r="D4" t="str">
            <v>MIS Analyst</v>
          </cell>
          <cell r="F4" t="str">
            <v>Mumbai</v>
          </cell>
          <cell r="G4">
            <v>3</v>
          </cell>
          <cell r="H4">
            <v>5</v>
          </cell>
          <cell r="I4" t="str">
            <v>ND</v>
          </cell>
          <cell r="M4" t="str">
            <v>ND</v>
          </cell>
          <cell r="O4">
            <v>0</v>
          </cell>
          <cell r="P4">
            <v>0</v>
          </cell>
          <cell r="Q4">
            <v>1</v>
          </cell>
          <cell r="R4">
            <v>0</v>
          </cell>
          <cell r="S4">
            <v>1</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1</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t="str">
            <v>Fulltime</v>
          </cell>
        </row>
        <row r="5">
          <cell r="A5">
            <v>4</v>
          </cell>
          <cell r="C5" t="str">
            <v>LinkedIn</v>
          </cell>
          <cell r="D5" t="str">
            <v>Data Engineer</v>
          </cell>
          <cell r="F5" t="str">
            <v>Hyderabad</v>
          </cell>
          <cell r="G5">
            <v>6</v>
          </cell>
          <cell r="H5">
            <v>10</v>
          </cell>
          <cell r="I5" t="str">
            <v>ND</v>
          </cell>
          <cell r="M5" t="str">
            <v>ND</v>
          </cell>
          <cell r="O5">
            <v>0</v>
          </cell>
          <cell r="P5">
            <v>1</v>
          </cell>
          <cell r="Q5">
            <v>0</v>
          </cell>
          <cell r="R5">
            <v>0</v>
          </cell>
          <cell r="S5">
            <v>0</v>
          </cell>
          <cell r="T5">
            <v>0</v>
          </cell>
          <cell r="U5">
            <v>1</v>
          </cell>
          <cell r="V5">
            <v>0</v>
          </cell>
          <cell r="W5">
            <v>0</v>
          </cell>
          <cell r="X5">
            <v>0</v>
          </cell>
          <cell r="Y5">
            <v>0</v>
          </cell>
          <cell r="Z5">
            <v>0</v>
          </cell>
          <cell r="AA5">
            <v>1</v>
          </cell>
          <cell r="AB5">
            <v>0</v>
          </cell>
          <cell r="AC5">
            <v>1</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t="str">
            <v>Fulltime</v>
          </cell>
        </row>
        <row r="6">
          <cell r="A6">
            <v>5</v>
          </cell>
          <cell r="C6" t="str">
            <v>LinkedIn</v>
          </cell>
          <cell r="D6" t="str">
            <v>BI Developer</v>
          </cell>
          <cell r="F6" t="str">
            <v>Hyderabad</v>
          </cell>
          <cell r="G6">
            <v>5</v>
          </cell>
          <cell r="H6">
            <v>10</v>
          </cell>
          <cell r="I6" t="str">
            <v>ND</v>
          </cell>
          <cell r="M6" t="str">
            <v>Hybrid</v>
          </cell>
          <cell r="O6">
            <v>1</v>
          </cell>
          <cell r="P6">
            <v>1</v>
          </cell>
          <cell r="Q6">
            <v>1</v>
          </cell>
          <cell r="R6">
            <v>0</v>
          </cell>
          <cell r="S6">
            <v>0</v>
          </cell>
          <cell r="T6">
            <v>0</v>
          </cell>
          <cell r="U6">
            <v>0</v>
          </cell>
          <cell r="V6">
            <v>0</v>
          </cell>
          <cell r="W6">
            <v>0</v>
          </cell>
          <cell r="X6">
            <v>0</v>
          </cell>
          <cell r="Y6">
            <v>0</v>
          </cell>
          <cell r="Z6">
            <v>0</v>
          </cell>
          <cell r="AA6">
            <v>0</v>
          </cell>
          <cell r="AB6">
            <v>0</v>
          </cell>
          <cell r="AC6">
            <v>1</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t="str">
            <v>Fulltime</v>
          </cell>
        </row>
        <row r="7">
          <cell r="A7">
            <v>6</v>
          </cell>
          <cell r="C7" t="str">
            <v>LinkedIn</v>
          </cell>
          <cell r="D7" t="str">
            <v>Data Analyst</v>
          </cell>
          <cell r="F7" t="str">
            <v>Bengaluru</v>
          </cell>
          <cell r="G7">
            <v>2</v>
          </cell>
          <cell r="H7">
            <v>4</v>
          </cell>
          <cell r="I7" t="str">
            <v>ND</v>
          </cell>
          <cell r="M7" t="str">
            <v>On-site</v>
          </cell>
          <cell r="O7">
            <v>1</v>
          </cell>
          <cell r="P7">
            <v>1</v>
          </cell>
          <cell r="Q7">
            <v>1</v>
          </cell>
          <cell r="R7">
            <v>0</v>
          </cell>
          <cell r="S7">
            <v>0</v>
          </cell>
          <cell r="T7">
            <v>0</v>
          </cell>
          <cell r="U7">
            <v>0</v>
          </cell>
          <cell r="V7">
            <v>0</v>
          </cell>
          <cell r="W7">
            <v>0</v>
          </cell>
          <cell r="X7">
            <v>0</v>
          </cell>
          <cell r="Y7">
            <v>1</v>
          </cell>
          <cell r="Z7">
            <v>1</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1</v>
          </cell>
          <cell r="AQ7">
            <v>0</v>
          </cell>
          <cell r="AR7">
            <v>0</v>
          </cell>
          <cell r="AS7">
            <v>0</v>
          </cell>
          <cell r="AT7">
            <v>0</v>
          </cell>
          <cell r="AU7">
            <v>0</v>
          </cell>
          <cell r="AV7">
            <v>0</v>
          </cell>
          <cell r="AW7">
            <v>0</v>
          </cell>
          <cell r="AX7">
            <v>0</v>
          </cell>
          <cell r="AY7">
            <v>0</v>
          </cell>
          <cell r="AZ7" t="str">
            <v>Fulltime</v>
          </cell>
        </row>
        <row r="8">
          <cell r="A8">
            <v>7</v>
          </cell>
          <cell r="C8" t="str">
            <v>LinkedIn</v>
          </cell>
          <cell r="D8" t="str">
            <v>MIS Analyst</v>
          </cell>
          <cell r="F8" t="str">
            <v>Bengaluru</v>
          </cell>
          <cell r="G8" t="str">
            <v>ND</v>
          </cell>
          <cell r="H8" t="str">
            <v>ND</v>
          </cell>
          <cell r="I8" t="str">
            <v>ND</v>
          </cell>
          <cell r="M8" t="str">
            <v>On-site</v>
          </cell>
          <cell r="O8">
            <v>1</v>
          </cell>
          <cell r="P8">
            <v>0</v>
          </cell>
          <cell r="Q8">
            <v>0</v>
          </cell>
          <cell r="R8">
            <v>0</v>
          </cell>
          <cell r="S8">
            <v>1</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t="str">
            <v>Fulltime</v>
          </cell>
        </row>
        <row r="9">
          <cell r="A9">
            <v>8</v>
          </cell>
          <cell r="C9" t="str">
            <v>LinkedIn</v>
          </cell>
          <cell r="D9" t="str">
            <v>Data Analyst</v>
          </cell>
          <cell r="F9" t="str">
            <v>Noida</v>
          </cell>
          <cell r="G9">
            <v>3</v>
          </cell>
          <cell r="H9" t="str">
            <v>None</v>
          </cell>
          <cell r="I9" t="str">
            <v>ND</v>
          </cell>
          <cell r="M9" t="str">
            <v>On-site</v>
          </cell>
          <cell r="O9">
            <v>1</v>
          </cell>
          <cell r="P9">
            <v>1</v>
          </cell>
          <cell r="Q9">
            <v>0</v>
          </cell>
          <cell r="R9">
            <v>0</v>
          </cell>
          <cell r="S9">
            <v>0</v>
          </cell>
          <cell r="T9">
            <v>0</v>
          </cell>
          <cell r="U9">
            <v>0</v>
          </cell>
          <cell r="V9">
            <v>0</v>
          </cell>
          <cell r="W9">
            <v>0</v>
          </cell>
          <cell r="X9">
            <v>0</v>
          </cell>
          <cell r="Y9">
            <v>0</v>
          </cell>
          <cell r="Z9">
            <v>0</v>
          </cell>
          <cell r="AA9">
            <v>1</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t="str">
            <v>Fulltime</v>
          </cell>
        </row>
        <row r="10">
          <cell r="A10">
            <v>9</v>
          </cell>
          <cell r="C10" t="str">
            <v>LinkedIn</v>
          </cell>
          <cell r="D10" t="str">
            <v>Data Analyst</v>
          </cell>
          <cell r="F10" t="str">
            <v>Bengaluru</v>
          </cell>
          <cell r="G10">
            <v>2</v>
          </cell>
          <cell r="H10">
            <v>5</v>
          </cell>
          <cell r="I10" t="str">
            <v>ND</v>
          </cell>
          <cell r="M10" t="str">
            <v>On-site</v>
          </cell>
          <cell r="O10">
            <v>1</v>
          </cell>
          <cell r="P10">
            <v>0</v>
          </cell>
          <cell r="Q10">
            <v>1</v>
          </cell>
          <cell r="R10">
            <v>1</v>
          </cell>
          <cell r="S10">
            <v>0</v>
          </cell>
          <cell r="T10">
            <v>0</v>
          </cell>
          <cell r="U10">
            <v>1</v>
          </cell>
          <cell r="V10">
            <v>0</v>
          </cell>
          <cell r="W10">
            <v>0</v>
          </cell>
          <cell r="X10">
            <v>0</v>
          </cell>
          <cell r="Y10">
            <v>0</v>
          </cell>
          <cell r="Z10">
            <v>0</v>
          </cell>
          <cell r="AA10">
            <v>0</v>
          </cell>
          <cell r="AB10">
            <v>0</v>
          </cell>
          <cell r="AC10">
            <v>0</v>
          </cell>
          <cell r="AD10">
            <v>1</v>
          </cell>
          <cell r="AE10">
            <v>0</v>
          </cell>
          <cell r="AF10">
            <v>0</v>
          </cell>
          <cell r="AG10">
            <v>1</v>
          </cell>
          <cell r="AH10">
            <v>0</v>
          </cell>
          <cell r="AI10">
            <v>0</v>
          </cell>
          <cell r="AJ10">
            <v>0</v>
          </cell>
          <cell r="AK10">
            <v>0</v>
          </cell>
          <cell r="AL10">
            <v>0</v>
          </cell>
          <cell r="AM10">
            <v>1</v>
          </cell>
          <cell r="AN10">
            <v>0</v>
          </cell>
          <cell r="AO10">
            <v>0</v>
          </cell>
          <cell r="AP10">
            <v>0</v>
          </cell>
          <cell r="AQ10">
            <v>0</v>
          </cell>
          <cell r="AR10">
            <v>0</v>
          </cell>
          <cell r="AS10">
            <v>0</v>
          </cell>
          <cell r="AT10">
            <v>0</v>
          </cell>
          <cell r="AU10">
            <v>0</v>
          </cell>
          <cell r="AV10">
            <v>0</v>
          </cell>
          <cell r="AW10">
            <v>0</v>
          </cell>
          <cell r="AX10">
            <v>0</v>
          </cell>
          <cell r="AY10">
            <v>0</v>
          </cell>
          <cell r="AZ10" t="str">
            <v>Fulltime</v>
          </cell>
        </row>
        <row r="11">
          <cell r="A11">
            <v>10</v>
          </cell>
          <cell r="C11" t="str">
            <v>LinkedIn</v>
          </cell>
          <cell r="D11" t="str">
            <v>Business Analyst</v>
          </cell>
          <cell r="F11" t="str">
            <v>Mumbai</v>
          </cell>
          <cell r="G11" t="str">
            <v>ND</v>
          </cell>
          <cell r="H11" t="str">
            <v>ND</v>
          </cell>
          <cell r="I11" t="str">
            <v>ND</v>
          </cell>
          <cell r="M11" t="str">
            <v>On-site</v>
          </cell>
          <cell r="O11">
            <v>0</v>
          </cell>
          <cell r="P11">
            <v>1</v>
          </cell>
          <cell r="Q11">
            <v>1</v>
          </cell>
          <cell r="R11">
            <v>0</v>
          </cell>
          <cell r="S11">
            <v>1</v>
          </cell>
          <cell r="T11">
            <v>0</v>
          </cell>
          <cell r="U11">
            <v>0</v>
          </cell>
          <cell r="V11">
            <v>0</v>
          </cell>
          <cell r="W11">
            <v>0</v>
          </cell>
          <cell r="X11">
            <v>0</v>
          </cell>
          <cell r="Y11">
            <v>0</v>
          </cell>
          <cell r="Z11">
            <v>0</v>
          </cell>
          <cell r="AA11">
            <v>0</v>
          </cell>
          <cell r="AB11">
            <v>0</v>
          </cell>
          <cell r="AC11">
            <v>0</v>
          </cell>
          <cell r="AD11">
            <v>0</v>
          </cell>
          <cell r="AE11">
            <v>1</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t="str">
            <v>Fulltime</v>
          </cell>
        </row>
        <row r="12">
          <cell r="A12">
            <v>11</v>
          </cell>
          <cell r="C12" t="str">
            <v>LinkedIn</v>
          </cell>
          <cell r="D12" t="str">
            <v>Data Analyst</v>
          </cell>
          <cell r="F12" t="str">
            <v>Hyderabad</v>
          </cell>
          <cell r="G12">
            <v>2</v>
          </cell>
          <cell r="H12" t="str">
            <v>ND</v>
          </cell>
          <cell r="I12" t="str">
            <v>ND</v>
          </cell>
          <cell r="M12" t="str">
            <v>On-site</v>
          </cell>
          <cell r="O12">
            <v>1</v>
          </cell>
          <cell r="P12">
            <v>1</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1</v>
          </cell>
          <cell r="AX12">
            <v>0</v>
          </cell>
          <cell r="AY12">
            <v>0</v>
          </cell>
          <cell r="AZ12" t="str">
            <v>Fulltime</v>
          </cell>
        </row>
        <row r="13">
          <cell r="A13">
            <v>12</v>
          </cell>
          <cell r="C13" t="str">
            <v>LinkedIn</v>
          </cell>
          <cell r="D13" t="str">
            <v>Data Analyst</v>
          </cell>
          <cell r="F13" t="str">
            <v>Pune</v>
          </cell>
          <cell r="G13">
            <v>5</v>
          </cell>
          <cell r="H13">
            <v>8</v>
          </cell>
          <cell r="I13" t="str">
            <v>ND</v>
          </cell>
          <cell r="M13" t="str">
            <v>On-site</v>
          </cell>
          <cell r="O13">
            <v>1</v>
          </cell>
          <cell r="P13">
            <v>0</v>
          </cell>
          <cell r="Q13">
            <v>0</v>
          </cell>
          <cell r="R13">
            <v>0</v>
          </cell>
          <cell r="S13">
            <v>0</v>
          </cell>
          <cell r="T13">
            <v>0</v>
          </cell>
          <cell r="U13">
            <v>0</v>
          </cell>
          <cell r="V13">
            <v>0</v>
          </cell>
          <cell r="W13">
            <v>0</v>
          </cell>
          <cell r="X13">
            <v>0</v>
          </cell>
          <cell r="Y13">
            <v>0</v>
          </cell>
          <cell r="Z13">
            <v>0</v>
          </cell>
          <cell r="AA13">
            <v>0</v>
          </cell>
          <cell r="AB13">
            <v>0</v>
          </cell>
          <cell r="AC13">
            <v>1</v>
          </cell>
          <cell r="AD13">
            <v>0</v>
          </cell>
          <cell r="AE13">
            <v>0</v>
          </cell>
          <cell r="AF13">
            <v>0</v>
          </cell>
          <cell r="AG13">
            <v>0</v>
          </cell>
          <cell r="AH13">
            <v>0</v>
          </cell>
          <cell r="AI13">
            <v>0</v>
          </cell>
          <cell r="AJ13">
            <v>0</v>
          </cell>
          <cell r="AK13">
            <v>0</v>
          </cell>
          <cell r="AL13">
            <v>0</v>
          </cell>
          <cell r="AM13">
            <v>1</v>
          </cell>
          <cell r="AN13">
            <v>0</v>
          </cell>
          <cell r="AO13">
            <v>0</v>
          </cell>
          <cell r="AP13">
            <v>0</v>
          </cell>
          <cell r="AQ13">
            <v>0</v>
          </cell>
          <cell r="AR13">
            <v>0</v>
          </cell>
          <cell r="AS13">
            <v>0</v>
          </cell>
          <cell r="AT13">
            <v>0</v>
          </cell>
          <cell r="AU13">
            <v>0</v>
          </cell>
          <cell r="AV13">
            <v>0</v>
          </cell>
          <cell r="AW13">
            <v>0</v>
          </cell>
          <cell r="AX13">
            <v>0</v>
          </cell>
          <cell r="AY13">
            <v>0</v>
          </cell>
          <cell r="AZ13" t="str">
            <v>Fulltime</v>
          </cell>
        </row>
        <row r="14">
          <cell r="A14">
            <v>13</v>
          </cell>
          <cell r="C14" t="str">
            <v>LinkedIn</v>
          </cell>
          <cell r="D14" t="str">
            <v>Data Analyst</v>
          </cell>
          <cell r="F14" t="str">
            <v>Bengaluru</v>
          </cell>
          <cell r="G14">
            <v>7</v>
          </cell>
          <cell r="H14">
            <v>10</v>
          </cell>
          <cell r="I14" t="str">
            <v>ND</v>
          </cell>
          <cell r="M14" t="str">
            <v>On-site</v>
          </cell>
          <cell r="O14">
            <v>1</v>
          </cell>
          <cell r="P14">
            <v>0</v>
          </cell>
          <cell r="Q14">
            <v>1</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t="str">
            <v>Fulltime</v>
          </cell>
        </row>
        <row r="15">
          <cell r="A15">
            <v>14</v>
          </cell>
          <cell r="C15" t="str">
            <v>LinkedIn</v>
          </cell>
          <cell r="D15" t="str">
            <v>Data Analyst</v>
          </cell>
          <cell r="F15" t="str">
            <v>Gurgaon</v>
          </cell>
          <cell r="G15">
            <v>2</v>
          </cell>
          <cell r="H15" t="str">
            <v>ND</v>
          </cell>
          <cell r="I15" t="str">
            <v>ND</v>
          </cell>
          <cell r="M15" t="str">
            <v>On-site</v>
          </cell>
          <cell r="O15">
            <v>1</v>
          </cell>
          <cell r="P15">
            <v>1</v>
          </cell>
          <cell r="Q15">
            <v>0</v>
          </cell>
          <cell r="R15">
            <v>1</v>
          </cell>
          <cell r="S15">
            <v>1</v>
          </cell>
          <cell r="T15">
            <v>1</v>
          </cell>
          <cell r="U15">
            <v>0</v>
          </cell>
          <cell r="V15">
            <v>0</v>
          </cell>
          <cell r="W15">
            <v>0</v>
          </cell>
          <cell r="X15">
            <v>0</v>
          </cell>
          <cell r="Y15">
            <v>1</v>
          </cell>
          <cell r="Z15">
            <v>1</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1</v>
          </cell>
          <cell r="AV15">
            <v>1</v>
          </cell>
          <cell r="AW15">
            <v>1</v>
          </cell>
          <cell r="AX15">
            <v>0</v>
          </cell>
          <cell r="AY15">
            <v>0</v>
          </cell>
          <cell r="AZ15" t="str">
            <v>Fulltime</v>
          </cell>
        </row>
        <row r="16">
          <cell r="A16">
            <v>15</v>
          </cell>
          <cell r="C16" t="str">
            <v>LinkedIn</v>
          </cell>
          <cell r="D16" t="str">
            <v>Data Analyst</v>
          </cell>
          <cell r="F16" t="str">
            <v>Hyderabad</v>
          </cell>
          <cell r="G16">
            <v>2</v>
          </cell>
          <cell r="H16">
            <v>5</v>
          </cell>
          <cell r="I16" t="str">
            <v>ND</v>
          </cell>
          <cell r="M16" t="str">
            <v>On-site</v>
          </cell>
          <cell r="O16">
            <v>1</v>
          </cell>
          <cell r="P16">
            <v>0</v>
          </cell>
          <cell r="Q16">
            <v>1</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t="str">
            <v>Fulltime</v>
          </cell>
        </row>
        <row r="17">
          <cell r="A17">
            <v>16</v>
          </cell>
          <cell r="C17" t="str">
            <v>LinkedIn</v>
          </cell>
          <cell r="D17" t="str">
            <v>Data Analyst</v>
          </cell>
          <cell r="F17" t="str">
            <v>Pune</v>
          </cell>
          <cell r="G17" t="str">
            <v>ND</v>
          </cell>
          <cell r="H17" t="str">
            <v>ND</v>
          </cell>
          <cell r="I17" t="str">
            <v>ND</v>
          </cell>
          <cell r="M17" t="str">
            <v>On-site</v>
          </cell>
          <cell r="O17">
            <v>1</v>
          </cell>
          <cell r="P17">
            <v>1</v>
          </cell>
          <cell r="Q17">
            <v>0</v>
          </cell>
          <cell r="R17">
            <v>0</v>
          </cell>
          <cell r="S17">
            <v>1</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t="str">
            <v>Fulltime</v>
          </cell>
        </row>
        <row r="18">
          <cell r="A18">
            <v>17</v>
          </cell>
          <cell r="C18" t="str">
            <v>LinkedIn</v>
          </cell>
          <cell r="D18" t="str">
            <v>Data Analyst</v>
          </cell>
          <cell r="F18" t="str">
            <v>Bengaluru</v>
          </cell>
          <cell r="G18" t="str">
            <v>ND</v>
          </cell>
          <cell r="H18" t="str">
            <v>ND</v>
          </cell>
          <cell r="I18" t="str">
            <v>ND</v>
          </cell>
          <cell r="M18" t="str">
            <v>On-site</v>
          </cell>
          <cell r="O18">
            <v>1</v>
          </cell>
          <cell r="P18">
            <v>1</v>
          </cell>
          <cell r="Q18">
            <v>0</v>
          </cell>
          <cell r="R18">
            <v>0</v>
          </cell>
          <cell r="S18">
            <v>1</v>
          </cell>
          <cell r="T18">
            <v>1</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1</v>
          </cell>
          <cell r="AK18">
            <v>0</v>
          </cell>
          <cell r="AL18">
            <v>0</v>
          </cell>
          <cell r="AM18">
            <v>0</v>
          </cell>
          <cell r="AN18">
            <v>0</v>
          </cell>
          <cell r="AO18">
            <v>0</v>
          </cell>
          <cell r="AP18">
            <v>0</v>
          </cell>
          <cell r="AQ18">
            <v>0</v>
          </cell>
          <cell r="AR18">
            <v>0</v>
          </cell>
          <cell r="AS18">
            <v>0</v>
          </cell>
          <cell r="AT18">
            <v>0</v>
          </cell>
          <cell r="AU18">
            <v>0</v>
          </cell>
          <cell r="AV18">
            <v>1</v>
          </cell>
          <cell r="AW18">
            <v>0</v>
          </cell>
          <cell r="AX18">
            <v>0</v>
          </cell>
          <cell r="AY18">
            <v>0</v>
          </cell>
          <cell r="AZ18" t="str">
            <v>Fulltime</v>
          </cell>
        </row>
        <row r="19">
          <cell r="A19">
            <v>18</v>
          </cell>
          <cell r="C19" t="str">
            <v>LinkedIn</v>
          </cell>
          <cell r="D19" t="str">
            <v>Data Engineer</v>
          </cell>
          <cell r="F19" t="str">
            <v>Bengaluru</v>
          </cell>
          <cell r="G19">
            <v>3</v>
          </cell>
          <cell r="H19">
            <v>5</v>
          </cell>
          <cell r="I19" t="str">
            <v>ND</v>
          </cell>
          <cell r="M19" t="str">
            <v>On-site</v>
          </cell>
          <cell r="O19">
            <v>1</v>
          </cell>
          <cell r="P19">
            <v>1</v>
          </cell>
          <cell r="Q19">
            <v>0</v>
          </cell>
          <cell r="R19">
            <v>0</v>
          </cell>
          <cell r="S19">
            <v>0</v>
          </cell>
          <cell r="T19">
            <v>0</v>
          </cell>
          <cell r="U19">
            <v>0</v>
          </cell>
          <cell r="V19">
            <v>0</v>
          </cell>
          <cell r="W19">
            <v>0</v>
          </cell>
          <cell r="X19">
            <v>1</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1</v>
          </cell>
          <cell r="AV19">
            <v>1</v>
          </cell>
          <cell r="AW19">
            <v>0</v>
          </cell>
          <cell r="AX19">
            <v>0</v>
          </cell>
          <cell r="AY19">
            <v>0</v>
          </cell>
          <cell r="AZ19" t="str">
            <v>Fulltime</v>
          </cell>
        </row>
        <row r="20">
          <cell r="A20">
            <v>19</v>
          </cell>
          <cell r="C20" t="str">
            <v>LinkedIn</v>
          </cell>
          <cell r="D20" t="str">
            <v>Data Engineer</v>
          </cell>
          <cell r="F20" t="str">
            <v>Gurgaon</v>
          </cell>
          <cell r="G20">
            <v>4</v>
          </cell>
          <cell r="H20">
            <v>6</v>
          </cell>
          <cell r="I20" t="str">
            <v>ND</v>
          </cell>
          <cell r="M20" t="str">
            <v>On-site</v>
          </cell>
          <cell r="O20">
            <v>1</v>
          </cell>
          <cell r="P20">
            <v>1</v>
          </cell>
          <cell r="Q20">
            <v>0</v>
          </cell>
          <cell r="R20">
            <v>0</v>
          </cell>
          <cell r="S20">
            <v>0</v>
          </cell>
          <cell r="T20">
            <v>0</v>
          </cell>
          <cell r="U20">
            <v>0</v>
          </cell>
          <cell r="V20">
            <v>0</v>
          </cell>
          <cell r="W20">
            <v>0</v>
          </cell>
          <cell r="X20">
            <v>0</v>
          </cell>
          <cell r="Y20">
            <v>0</v>
          </cell>
          <cell r="Z20">
            <v>0</v>
          </cell>
          <cell r="AA20">
            <v>1</v>
          </cell>
          <cell r="AB20">
            <v>1</v>
          </cell>
          <cell r="AC20">
            <v>0</v>
          </cell>
          <cell r="AD20">
            <v>0</v>
          </cell>
          <cell r="AE20">
            <v>0</v>
          </cell>
          <cell r="AF20">
            <v>0</v>
          </cell>
          <cell r="AG20">
            <v>0</v>
          </cell>
          <cell r="AH20">
            <v>0</v>
          </cell>
          <cell r="AI20">
            <v>0</v>
          </cell>
          <cell r="AJ20">
            <v>0</v>
          </cell>
          <cell r="AK20">
            <v>0</v>
          </cell>
          <cell r="AL20">
            <v>0</v>
          </cell>
          <cell r="AM20">
            <v>0</v>
          </cell>
          <cell r="AN20">
            <v>0</v>
          </cell>
          <cell r="AO20">
            <v>1</v>
          </cell>
          <cell r="AP20">
            <v>0</v>
          </cell>
          <cell r="AQ20">
            <v>0</v>
          </cell>
          <cell r="AR20">
            <v>0</v>
          </cell>
          <cell r="AS20">
            <v>0</v>
          </cell>
          <cell r="AT20">
            <v>0</v>
          </cell>
          <cell r="AU20">
            <v>0</v>
          </cell>
          <cell r="AV20">
            <v>0</v>
          </cell>
          <cell r="AW20">
            <v>0</v>
          </cell>
          <cell r="AX20">
            <v>0</v>
          </cell>
          <cell r="AY20">
            <v>0</v>
          </cell>
          <cell r="AZ20" t="str">
            <v>Fulltime</v>
          </cell>
        </row>
        <row r="21">
          <cell r="A21">
            <v>20</v>
          </cell>
          <cell r="C21" t="str">
            <v>LinkedIn</v>
          </cell>
          <cell r="D21" t="str">
            <v>Data Engineer</v>
          </cell>
          <cell r="F21" t="str">
            <v>Gurgaon</v>
          </cell>
          <cell r="G21">
            <v>2</v>
          </cell>
          <cell r="H21">
            <v>4</v>
          </cell>
          <cell r="I21" t="str">
            <v>ND</v>
          </cell>
          <cell r="M21" t="str">
            <v>On-site</v>
          </cell>
          <cell r="O21">
            <v>1</v>
          </cell>
          <cell r="P21">
            <v>0</v>
          </cell>
          <cell r="Q21">
            <v>0</v>
          </cell>
          <cell r="R21">
            <v>0</v>
          </cell>
          <cell r="S21">
            <v>0</v>
          </cell>
          <cell r="T21">
            <v>0</v>
          </cell>
          <cell r="U21">
            <v>0</v>
          </cell>
          <cell r="V21">
            <v>0</v>
          </cell>
          <cell r="W21">
            <v>0</v>
          </cell>
          <cell r="X21">
            <v>0</v>
          </cell>
          <cell r="Y21">
            <v>0</v>
          </cell>
          <cell r="Z21">
            <v>0</v>
          </cell>
          <cell r="AA21">
            <v>1</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t="str">
            <v>Fulltime</v>
          </cell>
        </row>
        <row r="22">
          <cell r="A22">
            <v>21</v>
          </cell>
          <cell r="C22" t="str">
            <v>LinkedIn</v>
          </cell>
          <cell r="D22" t="str">
            <v>Data Engineer</v>
          </cell>
          <cell r="F22" t="str">
            <v>Pune</v>
          </cell>
          <cell r="G22">
            <v>6</v>
          </cell>
          <cell r="H22">
            <v>10</v>
          </cell>
          <cell r="I22" t="str">
            <v>ND</v>
          </cell>
          <cell r="M22" t="str">
            <v>On-site</v>
          </cell>
          <cell r="O22">
            <v>1</v>
          </cell>
          <cell r="P22">
            <v>1</v>
          </cell>
          <cell r="Q22">
            <v>0</v>
          </cell>
          <cell r="R22">
            <v>0</v>
          </cell>
          <cell r="S22">
            <v>0</v>
          </cell>
          <cell r="T22">
            <v>0</v>
          </cell>
          <cell r="U22">
            <v>1</v>
          </cell>
          <cell r="V22">
            <v>0</v>
          </cell>
          <cell r="W22">
            <v>0</v>
          </cell>
          <cell r="X22">
            <v>0</v>
          </cell>
          <cell r="Y22">
            <v>0</v>
          </cell>
          <cell r="Z22">
            <v>0</v>
          </cell>
          <cell r="AA22">
            <v>0</v>
          </cell>
          <cell r="AB22">
            <v>0</v>
          </cell>
          <cell r="AC22">
            <v>0</v>
          </cell>
          <cell r="AD22">
            <v>0</v>
          </cell>
          <cell r="AE22">
            <v>1</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t="str">
            <v>Fulltime</v>
          </cell>
        </row>
        <row r="23">
          <cell r="A23">
            <v>22</v>
          </cell>
          <cell r="C23" t="str">
            <v>LinkedIn</v>
          </cell>
          <cell r="D23" t="str">
            <v>Data Engineer</v>
          </cell>
          <cell r="F23" t="str">
            <v>Gurgaon</v>
          </cell>
          <cell r="G23">
            <v>3</v>
          </cell>
          <cell r="H23" t="str">
            <v>ND</v>
          </cell>
          <cell r="I23" t="str">
            <v>ND</v>
          </cell>
          <cell r="M23" t="str">
            <v>On-site</v>
          </cell>
          <cell r="O23">
            <v>0</v>
          </cell>
          <cell r="P23">
            <v>0</v>
          </cell>
          <cell r="Q23">
            <v>0</v>
          </cell>
          <cell r="R23">
            <v>0</v>
          </cell>
          <cell r="S23">
            <v>0</v>
          </cell>
          <cell r="T23">
            <v>0</v>
          </cell>
          <cell r="U23">
            <v>0</v>
          </cell>
          <cell r="V23">
            <v>0</v>
          </cell>
          <cell r="W23">
            <v>0</v>
          </cell>
          <cell r="X23">
            <v>0</v>
          </cell>
          <cell r="Y23">
            <v>0</v>
          </cell>
          <cell r="Z23">
            <v>0</v>
          </cell>
          <cell r="AA23">
            <v>1</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t="str">
            <v>Fulltime</v>
          </cell>
        </row>
        <row r="24">
          <cell r="A24">
            <v>23</v>
          </cell>
          <cell r="C24" t="str">
            <v>LinkedIn</v>
          </cell>
          <cell r="D24" t="str">
            <v>Data Engineer</v>
          </cell>
          <cell r="F24" t="str">
            <v>Gurgaon</v>
          </cell>
          <cell r="G24">
            <v>3</v>
          </cell>
          <cell r="H24" t="str">
            <v>ND</v>
          </cell>
          <cell r="I24" t="str">
            <v>ND</v>
          </cell>
          <cell r="M24" t="str">
            <v>On-site</v>
          </cell>
          <cell r="O24">
            <v>1</v>
          </cell>
          <cell r="P24">
            <v>1</v>
          </cell>
          <cell r="Q24">
            <v>0</v>
          </cell>
          <cell r="R24">
            <v>0</v>
          </cell>
          <cell r="S24">
            <v>0</v>
          </cell>
          <cell r="T24">
            <v>0</v>
          </cell>
          <cell r="U24">
            <v>0</v>
          </cell>
          <cell r="V24">
            <v>0</v>
          </cell>
          <cell r="W24">
            <v>0</v>
          </cell>
          <cell r="X24">
            <v>0</v>
          </cell>
          <cell r="Y24">
            <v>0</v>
          </cell>
          <cell r="Z24">
            <v>0</v>
          </cell>
          <cell r="AA24">
            <v>1</v>
          </cell>
          <cell r="AB24">
            <v>1</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t="str">
            <v>Fulltime</v>
          </cell>
        </row>
        <row r="25">
          <cell r="A25">
            <v>24</v>
          </cell>
          <cell r="C25" t="str">
            <v>LinkedIn</v>
          </cell>
          <cell r="D25" t="str">
            <v>Data Engineer</v>
          </cell>
          <cell r="F25" t="str">
            <v>Pune</v>
          </cell>
          <cell r="G25" t="str">
            <v>ND</v>
          </cell>
          <cell r="H25" t="str">
            <v>ND</v>
          </cell>
          <cell r="I25" t="str">
            <v>ND</v>
          </cell>
          <cell r="M25" t="str">
            <v>On-site</v>
          </cell>
          <cell r="O25">
            <v>0</v>
          </cell>
          <cell r="P25">
            <v>0</v>
          </cell>
          <cell r="Q25">
            <v>0</v>
          </cell>
          <cell r="R25">
            <v>0</v>
          </cell>
          <cell r="S25">
            <v>0</v>
          </cell>
          <cell r="T25">
            <v>0</v>
          </cell>
          <cell r="U25">
            <v>1</v>
          </cell>
          <cell r="V25">
            <v>0</v>
          </cell>
          <cell r="W25">
            <v>0</v>
          </cell>
          <cell r="X25">
            <v>0</v>
          </cell>
          <cell r="Y25">
            <v>0</v>
          </cell>
          <cell r="Z25">
            <v>0</v>
          </cell>
          <cell r="AA25">
            <v>1</v>
          </cell>
          <cell r="AB25">
            <v>0</v>
          </cell>
          <cell r="AC25">
            <v>0</v>
          </cell>
          <cell r="AD25">
            <v>0</v>
          </cell>
          <cell r="AE25">
            <v>0</v>
          </cell>
          <cell r="AF25">
            <v>0</v>
          </cell>
          <cell r="AG25">
            <v>1</v>
          </cell>
          <cell r="AH25">
            <v>0</v>
          </cell>
          <cell r="AI25">
            <v>0</v>
          </cell>
          <cell r="AJ25">
            <v>0</v>
          </cell>
          <cell r="AK25">
            <v>0</v>
          </cell>
          <cell r="AL25">
            <v>0</v>
          </cell>
          <cell r="AM25">
            <v>0</v>
          </cell>
          <cell r="AN25">
            <v>0</v>
          </cell>
          <cell r="AO25">
            <v>1</v>
          </cell>
          <cell r="AP25">
            <v>0</v>
          </cell>
          <cell r="AQ25">
            <v>0</v>
          </cell>
          <cell r="AR25">
            <v>1</v>
          </cell>
          <cell r="AS25">
            <v>0</v>
          </cell>
          <cell r="AT25">
            <v>0</v>
          </cell>
          <cell r="AU25">
            <v>0</v>
          </cell>
          <cell r="AV25">
            <v>0</v>
          </cell>
          <cell r="AW25">
            <v>0</v>
          </cell>
          <cell r="AX25">
            <v>0</v>
          </cell>
          <cell r="AY25">
            <v>0</v>
          </cell>
          <cell r="AZ25" t="str">
            <v>Fulltime</v>
          </cell>
        </row>
        <row r="26">
          <cell r="A26">
            <v>25</v>
          </cell>
          <cell r="C26" t="str">
            <v>LinkedIn</v>
          </cell>
          <cell r="D26" t="str">
            <v>Data Engineer</v>
          </cell>
          <cell r="F26" t="str">
            <v>Gurgaon</v>
          </cell>
          <cell r="G26">
            <v>4</v>
          </cell>
          <cell r="H26" t="str">
            <v>ND</v>
          </cell>
          <cell r="I26" t="str">
            <v>ND</v>
          </cell>
          <cell r="M26" t="str">
            <v>On-site</v>
          </cell>
          <cell r="O26">
            <v>1</v>
          </cell>
          <cell r="P26">
            <v>1</v>
          </cell>
          <cell r="Q26">
            <v>0</v>
          </cell>
          <cell r="R26">
            <v>0</v>
          </cell>
          <cell r="S26">
            <v>0</v>
          </cell>
          <cell r="T26">
            <v>0</v>
          </cell>
          <cell r="U26">
            <v>0</v>
          </cell>
          <cell r="V26">
            <v>1</v>
          </cell>
          <cell r="W26">
            <v>0</v>
          </cell>
          <cell r="X26">
            <v>0</v>
          </cell>
          <cell r="Y26">
            <v>0</v>
          </cell>
          <cell r="Z26">
            <v>0</v>
          </cell>
          <cell r="AA26">
            <v>0</v>
          </cell>
          <cell r="AB26">
            <v>0</v>
          </cell>
          <cell r="AC26">
            <v>1</v>
          </cell>
          <cell r="AD26">
            <v>0</v>
          </cell>
          <cell r="AE26">
            <v>0</v>
          </cell>
          <cell r="AF26">
            <v>0</v>
          </cell>
          <cell r="AG26">
            <v>0</v>
          </cell>
          <cell r="AH26">
            <v>0</v>
          </cell>
          <cell r="AI26">
            <v>0</v>
          </cell>
          <cell r="AJ26">
            <v>1</v>
          </cell>
          <cell r="AK26">
            <v>0</v>
          </cell>
          <cell r="AL26">
            <v>1</v>
          </cell>
          <cell r="AM26">
            <v>0</v>
          </cell>
          <cell r="AN26">
            <v>0</v>
          </cell>
          <cell r="AO26">
            <v>0</v>
          </cell>
          <cell r="AP26">
            <v>0</v>
          </cell>
          <cell r="AQ26">
            <v>1</v>
          </cell>
          <cell r="AR26">
            <v>0</v>
          </cell>
          <cell r="AS26">
            <v>0</v>
          </cell>
          <cell r="AT26">
            <v>0</v>
          </cell>
          <cell r="AU26">
            <v>0</v>
          </cell>
          <cell r="AV26">
            <v>0</v>
          </cell>
          <cell r="AW26">
            <v>0</v>
          </cell>
          <cell r="AX26">
            <v>0</v>
          </cell>
          <cell r="AY26">
            <v>0</v>
          </cell>
          <cell r="AZ26" t="str">
            <v>Fulltime</v>
          </cell>
        </row>
        <row r="27">
          <cell r="A27">
            <v>26</v>
          </cell>
          <cell r="C27" t="str">
            <v>LinkedIn</v>
          </cell>
          <cell r="D27" t="str">
            <v>Data Engineer</v>
          </cell>
          <cell r="F27" t="str">
            <v>Chennai</v>
          </cell>
          <cell r="G27">
            <v>3</v>
          </cell>
          <cell r="H27" t="str">
            <v>ND</v>
          </cell>
          <cell r="I27" t="str">
            <v>ND</v>
          </cell>
          <cell r="M27" t="str">
            <v>On-site</v>
          </cell>
          <cell r="O27">
            <v>0</v>
          </cell>
          <cell r="P27">
            <v>1</v>
          </cell>
          <cell r="Q27">
            <v>1</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1</v>
          </cell>
          <cell r="AH27">
            <v>0</v>
          </cell>
          <cell r="AI27">
            <v>0</v>
          </cell>
          <cell r="AJ27">
            <v>1</v>
          </cell>
          <cell r="AK27">
            <v>0</v>
          </cell>
          <cell r="AL27">
            <v>1</v>
          </cell>
          <cell r="AM27">
            <v>0</v>
          </cell>
          <cell r="AN27">
            <v>0</v>
          </cell>
          <cell r="AO27">
            <v>0</v>
          </cell>
          <cell r="AP27">
            <v>0</v>
          </cell>
          <cell r="AQ27">
            <v>0</v>
          </cell>
          <cell r="AR27">
            <v>0</v>
          </cell>
          <cell r="AS27">
            <v>0</v>
          </cell>
          <cell r="AT27">
            <v>0</v>
          </cell>
          <cell r="AU27">
            <v>0</v>
          </cell>
          <cell r="AV27">
            <v>0</v>
          </cell>
          <cell r="AW27">
            <v>0</v>
          </cell>
          <cell r="AX27">
            <v>0</v>
          </cell>
          <cell r="AY27">
            <v>0</v>
          </cell>
          <cell r="AZ27" t="str">
            <v>Fulltime</v>
          </cell>
        </row>
        <row r="28">
          <cell r="A28">
            <v>27</v>
          </cell>
          <cell r="C28" t="str">
            <v>LinkedIn</v>
          </cell>
          <cell r="D28" t="str">
            <v>Data Engineer</v>
          </cell>
          <cell r="F28" t="str">
            <v>Chennai</v>
          </cell>
          <cell r="G28">
            <v>3</v>
          </cell>
          <cell r="H28">
            <v>7</v>
          </cell>
          <cell r="I28" t="str">
            <v>ND</v>
          </cell>
          <cell r="M28" t="str">
            <v>Hybrid</v>
          </cell>
          <cell r="O28">
            <v>1</v>
          </cell>
          <cell r="P28">
            <v>1</v>
          </cell>
          <cell r="Q28">
            <v>0</v>
          </cell>
          <cell r="R28">
            <v>0</v>
          </cell>
          <cell r="S28">
            <v>0</v>
          </cell>
          <cell r="T28">
            <v>0</v>
          </cell>
          <cell r="U28">
            <v>0</v>
          </cell>
          <cell r="V28">
            <v>0</v>
          </cell>
          <cell r="W28">
            <v>0</v>
          </cell>
          <cell r="X28">
            <v>0</v>
          </cell>
          <cell r="Y28">
            <v>0</v>
          </cell>
          <cell r="Z28">
            <v>0</v>
          </cell>
          <cell r="AA28">
            <v>1</v>
          </cell>
          <cell r="AB28">
            <v>0</v>
          </cell>
          <cell r="AC28">
            <v>0</v>
          </cell>
          <cell r="AD28">
            <v>0</v>
          </cell>
          <cell r="AE28">
            <v>1</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t="str">
            <v>Fulltime</v>
          </cell>
        </row>
        <row r="29">
          <cell r="A29">
            <v>28</v>
          </cell>
          <cell r="C29" t="str">
            <v>LinkedIn</v>
          </cell>
          <cell r="D29" t="str">
            <v>Data Engineer</v>
          </cell>
          <cell r="F29" t="str">
            <v>Mumbai</v>
          </cell>
          <cell r="G29" t="str">
            <v>ND</v>
          </cell>
          <cell r="H29" t="str">
            <v>ND</v>
          </cell>
          <cell r="I29" t="str">
            <v>ND</v>
          </cell>
          <cell r="M29" t="str">
            <v>On-site</v>
          </cell>
          <cell r="O29">
            <v>0</v>
          </cell>
          <cell r="P29">
            <v>1</v>
          </cell>
          <cell r="Q29">
            <v>0</v>
          </cell>
          <cell r="R29">
            <v>0</v>
          </cell>
          <cell r="S29">
            <v>0</v>
          </cell>
          <cell r="T29">
            <v>0</v>
          </cell>
          <cell r="U29">
            <v>1</v>
          </cell>
          <cell r="V29">
            <v>0</v>
          </cell>
          <cell r="W29">
            <v>0</v>
          </cell>
          <cell r="X29">
            <v>0</v>
          </cell>
          <cell r="Y29">
            <v>0</v>
          </cell>
          <cell r="Z29">
            <v>0</v>
          </cell>
          <cell r="AA29">
            <v>1</v>
          </cell>
          <cell r="AB29">
            <v>0</v>
          </cell>
          <cell r="AC29">
            <v>1</v>
          </cell>
          <cell r="AD29">
            <v>0</v>
          </cell>
          <cell r="AE29">
            <v>0</v>
          </cell>
          <cell r="AF29">
            <v>0</v>
          </cell>
          <cell r="AG29">
            <v>0</v>
          </cell>
          <cell r="AH29">
            <v>0</v>
          </cell>
          <cell r="AI29">
            <v>0</v>
          </cell>
          <cell r="AJ29">
            <v>0</v>
          </cell>
          <cell r="AK29">
            <v>0</v>
          </cell>
          <cell r="AL29">
            <v>1</v>
          </cell>
          <cell r="AM29">
            <v>0</v>
          </cell>
          <cell r="AN29">
            <v>0</v>
          </cell>
          <cell r="AO29">
            <v>0</v>
          </cell>
          <cell r="AP29">
            <v>0</v>
          </cell>
          <cell r="AQ29">
            <v>0</v>
          </cell>
          <cell r="AR29">
            <v>0</v>
          </cell>
          <cell r="AS29">
            <v>0</v>
          </cell>
          <cell r="AT29">
            <v>1</v>
          </cell>
          <cell r="AU29">
            <v>0</v>
          </cell>
          <cell r="AV29">
            <v>0</v>
          </cell>
          <cell r="AW29">
            <v>0</v>
          </cell>
          <cell r="AX29">
            <v>0</v>
          </cell>
          <cell r="AY29">
            <v>0</v>
          </cell>
          <cell r="AZ29" t="str">
            <v>Fulltime</v>
          </cell>
        </row>
        <row r="30">
          <cell r="A30">
            <v>29</v>
          </cell>
          <cell r="C30" t="str">
            <v>LinkedIn</v>
          </cell>
          <cell r="D30" t="str">
            <v>Data Engineer</v>
          </cell>
          <cell r="F30" t="str">
            <v>Chennai</v>
          </cell>
          <cell r="G30" t="str">
            <v>ND</v>
          </cell>
          <cell r="H30" t="str">
            <v>ND</v>
          </cell>
          <cell r="I30" t="str">
            <v>ND</v>
          </cell>
          <cell r="M30" t="str">
            <v>Hybrid</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1</v>
          </cell>
          <cell r="AK30">
            <v>0</v>
          </cell>
          <cell r="AL30">
            <v>1</v>
          </cell>
          <cell r="AM30">
            <v>0</v>
          </cell>
          <cell r="AN30">
            <v>0</v>
          </cell>
          <cell r="AO30">
            <v>0</v>
          </cell>
          <cell r="AP30">
            <v>0</v>
          </cell>
          <cell r="AQ30">
            <v>0</v>
          </cell>
          <cell r="AR30">
            <v>1</v>
          </cell>
          <cell r="AS30">
            <v>0</v>
          </cell>
          <cell r="AT30">
            <v>0</v>
          </cell>
          <cell r="AU30">
            <v>0</v>
          </cell>
          <cell r="AV30">
            <v>0</v>
          </cell>
          <cell r="AW30">
            <v>0</v>
          </cell>
          <cell r="AX30">
            <v>0</v>
          </cell>
          <cell r="AY30">
            <v>0</v>
          </cell>
          <cell r="AZ30" t="str">
            <v>Fulltime</v>
          </cell>
        </row>
        <row r="31">
          <cell r="A31">
            <v>30</v>
          </cell>
          <cell r="C31" t="str">
            <v>LinkedIn</v>
          </cell>
          <cell r="D31" t="str">
            <v>Data Engineer</v>
          </cell>
          <cell r="F31" t="str">
            <v>Bengaluru</v>
          </cell>
          <cell r="G31">
            <v>3</v>
          </cell>
          <cell r="H31" t="str">
            <v>ND</v>
          </cell>
          <cell r="I31" t="str">
            <v>ND</v>
          </cell>
          <cell r="M31" t="str">
            <v>On-site</v>
          </cell>
          <cell r="O31">
            <v>1</v>
          </cell>
          <cell r="P31">
            <v>1</v>
          </cell>
          <cell r="Q31">
            <v>0</v>
          </cell>
          <cell r="R31">
            <v>0</v>
          </cell>
          <cell r="S31">
            <v>0</v>
          </cell>
          <cell r="T31">
            <v>0</v>
          </cell>
          <cell r="U31">
            <v>0</v>
          </cell>
          <cell r="V31">
            <v>0</v>
          </cell>
          <cell r="W31">
            <v>0</v>
          </cell>
          <cell r="X31">
            <v>1</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1</v>
          </cell>
          <cell r="AQ31">
            <v>1</v>
          </cell>
          <cell r="AR31">
            <v>0</v>
          </cell>
          <cell r="AS31">
            <v>0</v>
          </cell>
          <cell r="AT31">
            <v>0</v>
          </cell>
          <cell r="AU31">
            <v>0</v>
          </cell>
          <cell r="AV31">
            <v>0</v>
          </cell>
          <cell r="AW31">
            <v>0</v>
          </cell>
          <cell r="AX31">
            <v>0</v>
          </cell>
          <cell r="AY31">
            <v>0</v>
          </cell>
          <cell r="AZ31" t="str">
            <v>Fulltime</v>
          </cell>
        </row>
        <row r="32">
          <cell r="A32">
            <v>31</v>
          </cell>
          <cell r="C32" t="str">
            <v>LinkedIn</v>
          </cell>
          <cell r="D32" t="str">
            <v>Data Engineer</v>
          </cell>
          <cell r="F32" t="str">
            <v>Delhi</v>
          </cell>
          <cell r="G32">
            <v>1</v>
          </cell>
          <cell r="H32">
            <v>3</v>
          </cell>
          <cell r="I32" t="str">
            <v>ND</v>
          </cell>
          <cell r="M32" t="str">
            <v>On-site</v>
          </cell>
          <cell r="O32">
            <v>1</v>
          </cell>
          <cell r="P32">
            <v>1</v>
          </cell>
          <cell r="Q32">
            <v>0</v>
          </cell>
          <cell r="R32">
            <v>0</v>
          </cell>
          <cell r="S32">
            <v>0</v>
          </cell>
          <cell r="T32">
            <v>0</v>
          </cell>
          <cell r="U32">
            <v>0</v>
          </cell>
          <cell r="V32">
            <v>0</v>
          </cell>
          <cell r="W32">
            <v>0</v>
          </cell>
          <cell r="X32">
            <v>0</v>
          </cell>
          <cell r="Y32">
            <v>0</v>
          </cell>
          <cell r="Z32">
            <v>0</v>
          </cell>
          <cell r="AA32">
            <v>0</v>
          </cell>
          <cell r="AB32">
            <v>0</v>
          </cell>
          <cell r="AC32">
            <v>1</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t="str">
            <v>Fulltime</v>
          </cell>
        </row>
        <row r="33">
          <cell r="A33">
            <v>32</v>
          </cell>
          <cell r="C33" t="str">
            <v>LinkedIn</v>
          </cell>
          <cell r="D33" t="str">
            <v>Data Engineer</v>
          </cell>
          <cell r="F33" t="str">
            <v>Bengaluru</v>
          </cell>
          <cell r="G33">
            <v>7</v>
          </cell>
          <cell r="H33">
            <v>12</v>
          </cell>
          <cell r="I33" t="str">
            <v>ND</v>
          </cell>
          <cell r="M33" t="str">
            <v>Hybrid</v>
          </cell>
          <cell r="O33">
            <v>1</v>
          </cell>
          <cell r="P33">
            <v>1</v>
          </cell>
          <cell r="Q33">
            <v>0</v>
          </cell>
          <cell r="R33">
            <v>0</v>
          </cell>
          <cell r="S33">
            <v>0</v>
          </cell>
          <cell r="T33">
            <v>0</v>
          </cell>
          <cell r="U33">
            <v>1</v>
          </cell>
          <cell r="V33">
            <v>0</v>
          </cell>
          <cell r="W33">
            <v>0</v>
          </cell>
          <cell r="X33">
            <v>1</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1</v>
          </cell>
          <cell r="AP33">
            <v>0</v>
          </cell>
          <cell r="AQ33">
            <v>0</v>
          </cell>
          <cell r="AR33">
            <v>0</v>
          </cell>
          <cell r="AS33">
            <v>1</v>
          </cell>
          <cell r="AT33">
            <v>0</v>
          </cell>
          <cell r="AU33">
            <v>0</v>
          </cell>
          <cell r="AV33">
            <v>0</v>
          </cell>
          <cell r="AW33">
            <v>0</v>
          </cell>
          <cell r="AX33">
            <v>0</v>
          </cell>
          <cell r="AY33">
            <v>0</v>
          </cell>
          <cell r="AZ33" t="str">
            <v>Fulltime</v>
          </cell>
        </row>
        <row r="34">
          <cell r="A34">
            <v>33</v>
          </cell>
          <cell r="C34" t="str">
            <v>LinkedIn</v>
          </cell>
          <cell r="D34" t="str">
            <v>Data Engineer</v>
          </cell>
          <cell r="F34" t="str">
            <v>Gurgaon</v>
          </cell>
          <cell r="G34" t="str">
            <v>ND</v>
          </cell>
          <cell r="H34" t="str">
            <v>ND</v>
          </cell>
          <cell r="I34" t="str">
            <v>ND</v>
          </cell>
          <cell r="M34" t="str">
            <v>On-site</v>
          </cell>
          <cell r="O34">
            <v>1</v>
          </cell>
          <cell r="P34">
            <v>1</v>
          </cell>
          <cell r="Q34">
            <v>0</v>
          </cell>
          <cell r="R34">
            <v>0</v>
          </cell>
          <cell r="S34">
            <v>0</v>
          </cell>
          <cell r="T34">
            <v>0</v>
          </cell>
          <cell r="U34">
            <v>0</v>
          </cell>
          <cell r="V34">
            <v>0</v>
          </cell>
          <cell r="W34">
            <v>0</v>
          </cell>
          <cell r="X34">
            <v>0</v>
          </cell>
          <cell r="Y34">
            <v>0</v>
          </cell>
          <cell r="Z34">
            <v>0</v>
          </cell>
          <cell r="AA34">
            <v>1</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t="str">
            <v>Fulltime</v>
          </cell>
        </row>
        <row r="35">
          <cell r="A35">
            <v>34</v>
          </cell>
          <cell r="C35" t="str">
            <v>LinkedIn</v>
          </cell>
          <cell r="D35" t="str">
            <v>Data Engineer</v>
          </cell>
          <cell r="F35" t="str">
            <v>Bengaluru</v>
          </cell>
          <cell r="G35">
            <v>4</v>
          </cell>
          <cell r="H35">
            <v>6</v>
          </cell>
          <cell r="I35" t="str">
            <v>ND</v>
          </cell>
          <cell r="M35" t="str">
            <v>On-site</v>
          </cell>
          <cell r="O35">
            <v>1</v>
          </cell>
          <cell r="P35">
            <v>1</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t="str">
            <v>Fulltime</v>
          </cell>
        </row>
        <row r="36">
          <cell r="A36">
            <v>35</v>
          </cell>
          <cell r="C36" t="str">
            <v>LinkedIn</v>
          </cell>
          <cell r="D36" t="str">
            <v>Data Engineer</v>
          </cell>
          <cell r="F36" t="str">
            <v>Bengaluru</v>
          </cell>
          <cell r="G36">
            <v>2</v>
          </cell>
          <cell r="H36">
            <v>5</v>
          </cell>
          <cell r="I36" t="str">
            <v>ND</v>
          </cell>
          <cell r="M36" t="str">
            <v>On-site</v>
          </cell>
          <cell r="O36">
            <v>1</v>
          </cell>
          <cell r="P36">
            <v>1</v>
          </cell>
          <cell r="Q36">
            <v>0</v>
          </cell>
          <cell r="R36">
            <v>0</v>
          </cell>
          <cell r="S36">
            <v>0</v>
          </cell>
          <cell r="T36">
            <v>0</v>
          </cell>
          <cell r="U36">
            <v>1</v>
          </cell>
          <cell r="V36">
            <v>0</v>
          </cell>
          <cell r="W36">
            <v>0</v>
          </cell>
          <cell r="X36">
            <v>0</v>
          </cell>
          <cell r="Y36">
            <v>0</v>
          </cell>
          <cell r="Z36">
            <v>0</v>
          </cell>
          <cell r="AA36">
            <v>1</v>
          </cell>
          <cell r="AB36">
            <v>0</v>
          </cell>
          <cell r="AC36">
            <v>0</v>
          </cell>
          <cell r="AD36">
            <v>0</v>
          </cell>
          <cell r="AE36">
            <v>1</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t="str">
            <v>Fulltime</v>
          </cell>
        </row>
        <row r="37">
          <cell r="A37">
            <v>36</v>
          </cell>
          <cell r="C37" t="str">
            <v>LinkedIn</v>
          </cell>
          <cell r="D37" t="str">
            <v>Data Engineer</v>
          </cell>
          <cell r="F37" t="str">
            <v>Bengaluru</v>
          </cell>
          <cell r="G37">
            <v>2</v>
          </cell>
          <cell r="H37">
            <v>5</v>
          </cell>
          <cell r="I37" t="str">
            <v>ND</v>
          </cell>
          <cell r="M37" t="str">
            <v>Hybrid</v>
          </cell>
          <cell r="O37">
            <v>0</v>
          </cell>
          <cell r="P37">
            <v>1</v>
          </cell>
          <cell r="Q37">
            <v>0</v>
          </cell>
          <cell r="R37">
            <v>0</v>
          </cell>
          <cell r="S37">
            <v>0</v>
          </cell>
          <cell r="T37">
            <v>0</v>
          </cell>
          <cell r="U37">
            <v>0</v>
          </cell>
          <cell r="V37">
            <v>1</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1</v>
          </cell>
          <cell r="AO37">
            <v>1</v>
          </cell>
          <cell r="AP37">
            <v>0</v>
          </cell>
          <cell r="AQ37">
            <v>0</v>
          </cell>
          <cell r="AR37">
            <v>0</v>
          </cell>
          <cell r="AS37">
            <v>0</v>
          </cell>
          <cell r="AT37">
            <v>0</v>
          </cell>
          <cell r="AU37">
            <v>0</v>
          </cell>
          <cell r="AV37">
            <v>0</v>
          </cell>
          <cell r="AW37">
            <v>0</v>
          </cell>
          <cell r="AX37">
            <v>0</v>
          </cell>
          <cell r="AY37">
            <v>0</v>
          </cell>
          <cell r="AZ37" t="str">
            <v>Fulltime</v>
          </cell>
        </row>
        <row r="38">
          <cell r="A38">
            <v>37</v>
          </cell>
          <cell r="C38" t="str">
            <v>LinkedIn</v>
          </cell>
          <cell r="D38" t="str">
            <v>Business Analyst</v>
          </cell>
          <cell r="F38" t="str">
            <v>Bengaluru</v>
          </cell>
          <cell r="G38">
            <v>3</v>
          </cell>
          <cell r="H38">
            <v>6</v>
          </cell>
          <cell r="I38" t="str">
            <v>ND</v>
          </cell>
          <cell r="M38" t="str">
            <v>Hybrid</v>
          </cell>
          <cell r="O38">
            <v>1</v>
          </cell>
          <cell r="P38">
            <v>1</v>
          </cell>
          <cell r="Q38">
            <v>0</v>
          </cell>
          <cell r="R38">
            <v>0</v>
          </cell>
          <cell r="S38">
            <v>1</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t="str">
            <v>Fulltime</v>
          </cell>
        </row>
        <row r="39">
          <cell r="A39">
            <v>38</v>
          </cell>
          <cell r="C39" t="str">
            <v>LinkedIn</v>
          </cell>
          <cell r="D39" t="str">
            <v>Business Analyst</v>
          </cell>
          <cell r="F39" t="str">
            <v>Mumbai</v>
          </cell>
          <cell r="G39">
            <v>2</v>
          </cell>
          <cell r="H39">
            <v>3</v>
          </cell>
          <cell r="I39" t="str">
            <v>ND</v>
          </cell>
          <cell r="M39" t="str">
            <v>Hybrid</v>
          </cell>
          <cell r="O39">
            <v>1</v>
          </cell>
          <cell r="P39">
            <v>0</v>
          </cell>
          <cell r="Q39">
            <v>0</v>
          </cell>
          <cell r="R39">
            <v>0</v>
          </cell>
          <cell r="S39">
            <v>1</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t="str">
            <v>Fulltime</v>
          </cell>
        </row>
        <row r="40">
          <cell r="A40">
            <v>39</v>
          </cell>
          <cell r="C40" t="str">
            <v>LinkedIn</v>
          </cell>
          <cell r="D40" t="str">
            <v>Business Analyst</v>
          </cell>
          <cell r="F40" t="str">
            <v>Bengaluru</v>
          </cell>
          <cell r="G40">
            <v>2</v>
          </cell>
          <cell r="H40">
            <v>5</v>
          </cell>
          <cell r="I40" t="str">
            <v>ND</v>
          </cell>
          <cell r="M40" t="str">
            <v>On-site</v>
          </cell>
          <cell r="O40">
            <v>1</v>
          </cell>
          <cell r="P40">
            <v>0</v>
          </cell>
          <cell r="Q40">
            <v>0</v>
          </cell>
          <cell r="R40">
            <v>0</v>
          </cell>
          <cell r="S40">
            <v>1</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1</v>
          </cell>
          <cell r="AN40">
            <v>0</v>
          </cell>
          <cell r="AO40">
            <v>0</v>
          </cell>
          <cell r="AP40">
            <v>0</v>
          </cell>
          <cell r="AQ40">
            <v>0</v>
          </cell>
          <cell r="AR40">
            <v>0</v>
          </cell>
          <cell r="AS40">
            <v>0</v>
          </cell>
          <cell r="AT40">
            <v>0</v>
          </cell>
          <cell r="AU40">
            <v>0</v>
          </cell>
          <cell r="AV40">
            <v>0</v>
          </cell>
          <cell r="AW40">
            <v>0</v>
          </cell>
          <cell r="AX40">
            <v>0</v>
          </cell>
          <cell r="AY40">
            <v>0</v>
          </cell>
          <cell r="AZ40" t="str">
            <v>Fulltime</v>
          </cell>
        </row>
        <row r="41">
          <cell r="A41">
            <v>40</v>
          </cell>
          <cell r="C41" t="str">
            <v>LinkedIn</v>
          </cell>
          <cell r="D41" t="str">
            <v>Business Analyst</v>
          </cell>
          <cell r="F41" t="str">
            <v>Bengaluru</v>
          </cell>
          <cell r="G41">
            <v>2</v>
          </cell>
          <cell r="H41">
            <v>4</v>
          </cell>
          <cell r="I41" t="str">
            <v>ND</v>
          </cell>
          <cell r="M41" t="str">
            <v>On-site</v>
          </cell>
          <cell r="O41">
            <v>1</v>
          </cell>
          <cell r="P41">
            <v>0</v>
          </cell>
          <cell r="Q41">
            <v>0</v>
          </cell>
          <cell r="R41">
            <v>0</v>
          </cell>
          <cell r="S41">
            <v>1</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t="str">
            <v>Fulltime</v>
          </cell>
        </row>
        <row r="42">
          <cell r="A42">
            <v>41</v>
          </cell>
          <cell r="C42" t="str">
            <v>LinkedIn</v>
          </cell>
          <cell r="D42" t="str">
            <v>Business Analyst</v>
          </cell>
          <cell r="F42" t="str">
            <v>Bengaluru</v>
          </cell>
          <cell r="G42">
            <v>2</v>
          </cell>
          <cell r="H42" t="str">
            <v>ND</v>
          </cell>
          <cell r="I42" t="str">
            <v>ND</v>
          </cell>
          <cell r="M42" t="str">
            <v>On-site</v>
          </cell>
          <cell r="O42">
            <v>1</v>
          </cell>
          <cell r="P42">
            <v>1</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t="str">
            <v>Fulltime</v>
          </cell>
        </row>
        <row r="43">
          <cell r="A43">
            <v>42</v>
          </cell>
          <cell r="C43" t="str">
            <v>LinkedIn</v>
          </cell>
          <cell r="D43" t="str">
            <v>Business Analyst</v>
          </cell>
          <cell r="F43" t="str">
            <v>Pune</v>
          </cell>
          <cell r="G43">
            <v>3</v>
          </cell>
          <cell r="H43" t="str">
            <v>ND</v>
          </cell>
          <cell r="I43" t="str">
            <v>ND</v>
          </cell>
          <cell r="M43" t="str">
            <v>On-site</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t="str">
            <v>Fulltime</v>
          </cell>
        </row>
        <row r="44">
          <cell r="A44">
            <v>43</v>
          </cell>
          <cell r="C44" t="str">
            <v>LinkedIn</v>
          </cell>
          <cell r="D44" t="str">
            <v>Business Analyst</v>
          </cell>
          <cell r="F44" t="str">
            <v>Bengaluru</v>
          </cell>
          <cell r="G44" t="str">
            <v>ND</v>
          </cell>
          <cell r="H44" t="str">
            <v>ND</v>
          </cell>
          <cell r="I44" t="str">
            <v>ND</v>
          </cell>
          <cell r="M44" t="str">
            <v>On-site</v>
          </cell>
          <cell r="O44">
            <v>1</v>
          </cell>
          <cell r="P44">
            <v>0</v>
          </cell>
          <cell r="Q44">
            <v>0</v>
          </cell>
          <cell r="R44">
            <v>0</v>
          </cell>
          <cell r="S44">
            <v>1</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1</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t="str">
            <v>Fulltime</v>
          </cell>
        </row>
        <row r="45">
          <cell r="A45">
            <v>44</v>
          </cell>
          <cell r="C45" t="str">
            <v>LinkedIn</v>
          </cell>
          <cell r="D45" t="str">
            <v>Business Analyst</v>
          </cell>
          <cell r="F45" t="str">
            <v>Bengaluru</v>
          </cell>
          <cell r="G45">
            <v>3</v>
          </cell>
          <cell r="H45">
            <v>4</v>
          </cell>
          <cell r="I45" t="str">
            <v>ND</v>
          </cell>
          <cell r="M45" t="str">
            <v>On-site</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1</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t="str">
            <v>Fulltime</v>
          </cell>
        </row>
        <row r="46">
          <cell r="A46">
            <v>45</v>
          </cell>
          <cell r="C46" t="str">
            <v>LinkedIn</v>
          </cell>
          <cell r="D46" t="str">
            <v>Business Analyst</v>
          </cell>
          <cell r="F46" t="str">
            <v>Bengaluru</v>
          </cell>
          <cell r="G46">
            <v>1</v>
          </cell>
          <cell r="H46">
            <v>3</v>
          </cell>
          <cell r="I46" t="str">
            <v>ND</v>
          </cell>
          <cell r="M46" t="str">
            <v>On-site</v>
          </cell>
          <cell r="O46">
            <v>0</v>
          </cell>
          <cell r="P46">
            <v>0</v>
          </cell>
          <cell r="Q46">
            <v>0</v>
          </cell>
          <cell r="R46">
            <v>0</v>
          </cell>
          <cell r="S46">
            <v>1</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t="str">
            <v>Fulltime</v>
          </cell>
        </row>
        <row r="47">
          <cell r="A47">
            <v>46</v>
          </cell>
          <cell r="C47" t="str">
            <v>LinkedIn</v>
          </cell>
          <cell r="D47" t="str">
            <v>Business Analyst</v>
          </cell>
          <cell r="F47" t="str">
            <v>Bengaluru</v>
          </cell>
          <cell r="G47" t="str">
            <v>ND</v>
          </cell>
          <cell r="H47" t="str">
            <v>ND</v>
          </cell>
          <cell r="I47" t="str">
            <v>ND</v>
          </cell>
          <cell r="M47" t="str">
            <v>On-site</v>
          </cell>
          <cell r="O47">
            <v>1</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1</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t="str">
            <v>Fulltime</v>
          </cell>
        </row>
        <row r="48">
          <cell r="A48">
            <v>47</v>
          </cell>
          <cell r="C48" t="str">
            <v>LinkedIn</v>
          </cell>
          <cell r="D48" t="str">
            <v>Business Analyst</v>
          </cell>
          <cell r="F48" t="str">
            <v>Hyderabad</v>
          </cell>
          <cell r="G48">
            <v>1</v>
          </cell>
          <cell r="H48">
            <v>5</v>
          </cell>
          <cell r="I48" t="str">
            <v>ND</v>
          </cell>
          <cell r="M48" t="str">
            <v>On-site</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t="str">
            <v>Fulltime</v>
          </cell>
        </row>
        <row r="49">
          <cell r="A49">
            <v>48</v>
          </cell>
          <cell r="C49" t="str">
            <v>LinkedIn</v>
          </cell>
          <cell r="D49" t="str">
            <v>Business Analyst</v>
          </cell>
          <cell r="F49" t="str">
            <v>Chennai</v>
          </cell>
          <cell r="G49">
            <v>3</v>
          </cell>
          <cell r="H49">
            <v>5</v>
          </cell>
          <cell r="I49" t="str">
            <v>ND</v>
          </cell>
          <cell r="M49" t="str">
            <v>Hybrid</v>
          </cell>
          <cell r="O49">
            <v>1</v>
          </cell>
          <cell r="P49">
            <v>0</v>
          </cell>
          <cell r="Q49">
            <v>0</v>
          </cell>
          <cell r="R49">
            <v>0</v>
          </cell>
          <cell r="S49">
            <v>1</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t="str">
            <v>Fulltime</v>
          </cell>
        </row>
        <row r="50">
          <cell r="A50">
            <v>49</v>
          </cell>
          <cell r="C50" t="str">
            <v>LinkedIn</v>
          </cell>
          <cell r="D50" t="str">
            <v>Business Analyst</v>
          </cell>
          <cell r="F50" t="str">
            <v>Bengaluru</v>
          </cell>
          <cell r="G50">
            <v>2</v>
          </cell>
          <cell r="H50">
            <v>5</v>
          </cell>
          <cell r="I50" t="str">
            <v>ND</v>
          </cell>
          <cell r="M50" t="str">
            <v>On-site</v>
          </cell>
          <cell r="O50">
            <v>0</v>
          </cell>
          <cell r="P50">
            <v>0</v>
          </cell>
          <cell r="Q50">
            <v>1</v>
          </cell>
          <cell r="R50">
            <v>1</v>
          </cell>
          <cell r="S50">
            <v>1</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t="str">
            <v>Fulltime</v>
          </cell>
        </row>
        <row r="51">
          <cell r="A51">
            <v>50</v>
          </cell>
          <cell r="C51" t="str">
            <v>LinkedIn</v>
          </cell>
          <cell r="D51" t="str">
            <v>Business Analyst</v>
          </cell>
          <cell r="F51" t="str">
            <v>Bengaluru</v>
          </cell>
          <cell r="G51">
            <v>1</v>
          </cell>
          <cell r="H51">
            <v>5</v>
          </cell>
          <cell r="I51" t="str">
            <v>ND</v>
          </cell>
          <cell r="M51" t="str">
            <v>On-site</v>
          </cell>
          <cell r="O51">
            <v>1</v>
          </cell>
          <cell r="P51">
            <v>1</v>
          </cell>
          <cell r="Q51">
            <v>0</v>
          </cell>
          <cell r="R51">
            <v>0</v>
          </cell>
          <cell r="S51">
            <v>0</v>
          </cell>
          <cell r="T51">
            <v>0</v>
          </cell>
          <cell r="U51">
            <v>0</v>
          </cell>
          <cell r="V51">
            <v>0</v>
          </cell>
          <cell r="W51">
            <v>0</v>
          </cell>
          <cell r="X51">
            <v>0</v>
          </cell>
          <cell r="Y51">
            <v>0</v>
          </cell>
          <cell r="Z51">
            <v>0</v>
          </cell>
          <cell r="AA51">
            <v>0</v>
          </cell>
          <cell r="AB51">
            <v>0</v>
          </cell>
          <cell r="AC51">
            <v>1</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t="str">
            <v>Fulltime</v>
          </cell>
        </row>
        <row r="52">
          <cell r="A52">
            <v>51</v>
          </cell>
          <cell r="C52" t="str">
            <v>LinkedIn</v>
          </cell>
          <cell r="D52" t="str">
            <v>Data Analyst</v>
          </cell>
          <cell r="F52" t="str">
            <v>Bengaluru</v>
          </cell>
          <cell r="G52" t="str">
            <v>ND</v>
          </cell>
          <cell r="H52" t="str">
            <v>ND</v>
          </cell>
          <cell r="I52" t="str">
            <v>ND</v>
          </cell>
          <cell r="M52" t="str">
            <v>On-site</v>
          </cell>
          <cell r="O52">
            <v>1</v>
          </cell>
          <cell r="P52">
            <v>0</v>
          </cell>
          <cell r="Q52">
            <v>1</v>
          </cell>
          <cell r="R52">
            <v>0</v>
          </cell>
          <cell r="S52">
            <v>1</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t="str">
            <v>Fulltime</v>
          </cell>
        </row>
        <row r="53">
          <cell r="A53">
            <v>52</v>
          </cell>
          <cell r="C53" t="str">
            <v>LinkedIn</v>
          </cell>
          <cell r="D53" t="str">
            <v>MIS Analyst</v>
          </cell>
          <cell r="F53" t="str">
            <v>Bengaluru</v>
          </cell>
          <cell r="G53">
            <v>1</v>
          </cell>
          <cell r="H53">
            <v>3</v>
          </cell>
          <cell r="I53" t="str">
            <v>ND</v>
          </cell>
          <cell r="M53" t="str">
            <v>On-site</v>
          </cell>
          <cell r="O53">
            <v>0</v>
          </cell>
          <cell r="P53">
            <v>1</v>
          </cell>
          <cell r="Q53">
            <v>0</v>
          </cell>
          <cell r="R53">
            <v>0</v>
          </cell>
          <cell r="S53">
            <v>1</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1</v>
          </cell>
          <cell r="AY53">
            <v>1</v>
          </cell>
          <cell r="AZ53" t="str">
            <v>Fulltime</v>
          </cell>
        </row>
        <row r="54">
          <cell r="A54">
            <v>53</v>
          </cell>
          <cell r="C54" t="str">
            <v>LinkedIn</v>
          </cell>
          <cell r="D54" t="str">
            <v>MIS Analyst</v>
          </cell>
          <cell r="F54" t="str">
            <v>Delhi</v>
          </cell>
          <cell r="G54">
            <v>3</v>
          </cell>
          <cell r="H54">
            <v>6</v>
          </cell>
          <cell r="I54" t="str">
            <v>ND</v>
          </cell>
          <cell r="M54" t="str">
            <v>On-site</v>
          </cell>
          <cell r="O54">
            <v>0</v>
          </cell>
          <cell r="P54">
            <v>0</v>
          </cell>
          <cell r="Q54">
            <v>0</v>
          </cell>
          <cell r="R54">
            <v>0</v>
          </cell>
          <cell r="S54">
            <v>1</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1</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t="str">
            <v>Fulltime</v>
          </cell>
        </row>
        <row r="55">
          <cell r="A55">
            <v>54</v>
          </cell>
          <cell r="C55" t="str">
            <v>LinkedIn</v>
          </cell>
          <cell r="D55" t="str">
            <v>MIS Analyst</v>
          </cell>
          <cell r="F55" t="str">
            <v>Pune</v>
          </cell>
          <cell r="G55" t="str">
            <v>ND</v>
          </cell>
          <cell r="H55" t="str">
            <v>ND</v>
          </cell>
          <cell r="I55" t="str">
            <v>ND</v>
          </cell>
          <cell r="M55" t="str">
            <v>On-site</v>
          </cell>
          <cell r="O55">
            <v>0</v>
          </cell>
          <cell r="P55">
            <v>0</v>
          </cell>
          <cell r="Q55">
            <v>0</v>
          </cell>
          <cell r="R55">
            <v>0</v>
          </cell>
          <cell r="S55">
            <v>1</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1</v>
          </cell>
          <cell r="AL55">
            <v>0</v>
          </cell>
          <cell r="AM55">
            <v>0</v>
          </cell>
          <cell r="AN55">
            <v>1</v>
          </cell>
          <cell r="AO55">
            <v>0</v>
          </cell>
          <cell r="AP55">
            <v>0</v>
          </cell>
          <cell r="AQ55">
            <v>0</v>
          </cell>
          <cell r="AR55">
            <v>0</v>
          </cell>
          <cell r="AS55">
            <v>0</v>
          </cell>
          <cell r="AT55">
            <v>0</v>
          </cell>
          <cell r="AU55">
            <v>0</v>
          </cell>
          <cell r="AV55">
            <v>0</v>
          </cell>
          <cell r="AW55">
            <v>0</v>
          </cell>
          <cell r="AX55">
            <v>0</v>
          </cell>
          <cell r="AY55">
            <v>0</v>
          </cell>
          <cell r="AZ55" t="str">
            <v>Fulltime</v>
          </cell>
        </row>
        <row r="56">
          <cell r="A56">
            <v>55</v>
          </cell>
          <cell r="C56" t="str">
            <v>LinkedIn</v>
          </cell>
          <cell r="D56" t="str">
            <v>Business Analyst</v>
          </cell>
          <cell r="F56" t="str">
            <v>Bengaluru</v>
          </cell>
          <cell r="G56">
            <v>1</v>
          </cell>
          <cell r="H56">
            <v>2</v>
          </cell>
          <cell r="I56" t="str">
            <v>ND</v>
          </cell>
          <cell r="M56" t="str">
            <v>On-site</v>
          </cell>
          <cell r="O56">
            <v>1</v>
          </cell>
          <cell r="P56">
            <v>0</v>
          </cell>
          <cell r="Q56">
            <v>0</v>
          </cell>
          <cell r="R56">
            <v>1</v>
          </cell>
          <cell r="S56">
            <v>1</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1</v>
          </cell>
          <cell r="AT56">
            <v>0</v>
          </cell>
          <cell r="AU56">
            <v>1</v>
          </cell>
          <cell r="AV56">
            <v>0</v>
          </cell>
          <cell r="AW56">
            <v>0</v>
          </cell>
          <cell r="AX56">
            <v>0</v>
          </cell>
          <cell r="AY56">
            <v>0</v>
          </cell>
          <cell r="AZ56" t="str">
            <v>Fulltime</v>
          </cell>
        </row>
        <row r="57">
          <cell r="A57">
            <v>56</v>
          </cell>
          <cell r="C57" t="str">
            <v>LinkedIn</v>
          </cell>
          <cell r="D57" t="str">
            <v>BI Developer</v>
          </cell>
          <cell r="F57" t="str">
            <v>Gurgaon</v>
          </cell>
          <cell r="G57" t="str">
            <v>ND</v>
          </cell>
          <cell r="H57" t="str">
            <v>ND</v>
          </cell>
          <cell r="I57" t="str">
            <v>ND</v>
          </cell>
          <cell r="M57" t="str">
            <v>On-site</v>
          </cell>
          <cell r="O57">
            <v>1</v>
          </cell>
          <cell r="P57">
            <v>0</v>
          </cell>
          <cell r="Q57">
            <v>0</v>
          </cell>
          <cell r="R57">
            <v>0</v>
          </cell>
          <cell r="S57">
            <v>1</v>
          </cell>
          <cell r="T57">
            <v>0</v>
          </cell>
          <cell r="U57">
            <v>0</v>
          </cell>
          <cell r="V57">
            <v>0</v>
          </cell>
          <cell r="W57">
            <v>0</v>
          </cell>
          <cell r="X57">
            <v>0</v>
          </cell>
          <cell r="Y57">
            <v>0</v>
          </cell>
          <cell r="Z57">
            <v>0</v>
          </cell>
          <cell r="AA57">
            <v>0</v>
          </cell>
          <cell r="AB57">
            <v>0</v>
          </cell>
          <cell r="AC57">
            <v>1</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t="str">
            <v>Fulltime</v>
          </cell>
        </row>
        <row r="58">
          <cell r="A58">
            <v>57</v>
          </cell>
          <cell r="C58" t="str">
            <v>LinkedIn</v>
          </cell>
          <cell r="D58" t="str">
            <v>BI Developer</v>
          </cell>
          <cell r="F58" t="str">
            <v>Hyderabad</v>
          </cell>
          <cell r="G58">
            <v>3</v>
          </cell>
          <cell r="H58" t="str">
            <v>ND</v>
          </cell>
          <cell r="I58" t="str">
            <v>ND</v>
          </cell>
          <cell r="M58" t="str">
            <v>On-site</v>
          </cell>
          <cell r="O58">
            <v>1</v>
          </cell>
          <cell r="P58">
            <v>1</v>
          </cell>
          <cell r="Q58">
            <v>1</v>
          </cell>
          <cell r="R58">
            <v>0</v>
          </cell>
          <cell r="S58">
            <v>0</v>
          </cell>
          <cell r="T58">
            <v>0</v>
          </cell>
          <cell r="U58">
            <v>0</v>
          </cell>
          <cell r="V58">
            <v>0</v>
          </cell>
          <cell r="W58">
            <v>0</v>
          </cell>
          <cell r="X58">
            <v>0</v>
          </cell>
          <cell r="Y58">
            <v>0</v>
          </cell>
          <cell r="Z58">
            <v>0</v>
          </cell>
          <cell r="AA58">
            <v>0</v>
          </cell>
          <cell r="AB58">
            <v>0</v>
          </cell>
          <cell r="AC58">
            <v>1</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t="str">
            <v>Fulltime</v>
          </cell>
        </row>
        <row r="59">
          <cell r="A59">
            <v>58</v>
          </cell>
          <cell r="C59" t="str">
            <v>LinkedIn</v>
          </cell>
          <cell r="D59" t="str">
            <v>BI Developer</v>
          </cell>
          <cell r="F59" t="str">
            <v>Bengaluru</v>
          </cell>
          <cell r="G59">
            <v>2</v>
          </cell>
          <cell r="H59">
            <v>6</v>
          </cell>
          <cell r="I59" t="str">
            <v>ND</v>
          </cell>
          <cell r="M59" t="str">
            <v>Hybrid</v>
          </cell>
          <cell r="O59">
            <v>1</v>
          </cell>
          <cell r="P59">
            <v>0</v>
          </cell>
          <cell r="Q59">
            <v>1</v>
          </cell>
          <cell r="R59">
            <v>0</v>
          </cell>
          <cell r="S59">
            <v>1</v>
          </cell>
          <cell r="T59">
            <v>0</v>
          </cell>
          <cell r="U59">
            <v>0</v>
          </cell>
          <cell r="V59">
            <v>0</v>
          </cell>
          <cell r="W59">
            <v>0</v>
          </cell>
          <cell r="X59">
            <v>1</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t="str">
            <v>Fulltime</v>
          </cell>
        </row>
        <row r="60">
          <cell r="A60">
            <v>59</v>
          </cell>
          <cell r="C60" t="str">
            <v>LinkedIn</v>
          </cell>
          <cell r="D60" t="str">
            <v>MIS Analyst</v>
          </cell>
          <cell r="F60" t="str">
            <v>Bengaluru</v>
          </cell>
          <cell r="G60">
            <v>1</v>
          </cell>
          <cell r="H60">
            <v>2</v>
          </cell>
          <cell r="I60" t="str">
            <v>ND</v>
          </cell>
          <cell r="M60" t="str">
            <v>On-site</v>
          </cell>
          <cell r="O60">
            <v>0</v>
          </cell>
          <cell r="P60">
            <v>0</v>
          </cell>
          <cell r="Q60">
            <v>0</v>
          </cell>
          <cell r="R60">
            <v>0</v>
          </cell>
          <cell r="S60">
            <v>1</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1</v>
          </cell>
          <cell r="AU60">
            <v>0</v>
          </cell>
          <cell r="AV60">
            <v>0</v>
          </cell>
          <cell r="AW60">
            <v>0</v>
          </cell>
          <cell r="AX60">
            <v>0</v>
          </cell>
          <cell r="AY60">
            <v>0</v>
          </cell>
          <cell r="AZ60" t="str">
            <v>Fulltime</v>
          </cell>
        </row>
        <row r="61">
          <cell r="A61">
            <v>60</v>
          </cell>
          <cell r="C61" t="str">
            <v>LinkedIn</v>
          </cell>
          <cell r="D61" t="str">
            <v>BI Developer</v>
          </cell>
          <cell r="F61" t="str">
            <v>Bengaluru</v>
          </cell>
          <cell r="G61">
            <v>2</v>
          </cell>
          <cell r="H61">
            <v>4</v>
          </cell>
          <cell r="I61" t="str">
            <v>ND</v>
          </cell>
          <cell r="M61" t="str">
            <v>On-site</v>
          </cell>
          <cell r="O61">
            <v>1</v>
          </cell>
          <cell r="P61">
            <v>0</v>
          </cell>
          <cell r="Q61">
            <v>1</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t="str">
            <v>Fulltime</v>
          </cell>
        </row>
        <row r="62">
          <cell r="A62">
            <v>61</v>
          </cell>
          <cell r="C62" t="str">
            <v>LinkedIn</v>
          </cell>
          <cell r="D62" t="str">
            <v>Business Analyst</v>
          </cell>
          <cell r="F62" t="str">
            <v>Bengaluru</v>
          </cell>
          <cell r="G62">
            <v>2</v>
          </cell>
          <cell r="H62">
            <v>4</v>
          </cell>
          <cell r="I62" t="str">
            <v>ND</v>
          </cell>
          <cell r="M62" t="str">
            <v>On-site</v>
          </cell>
          <cell r="O62">
            <v>1</v>
          </cell>
          <cell r="P62">
            <v>0</v>
          </cell>
          <cell r="Q62">
            <v>1</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t="str">
            <v>Fulltime</v>
          </cell>
        </row>
        <row r="63">
          <cell r="A63">
            <v>62</v>
          </cell>
          <cell r="C63" t="str">
            <v>LinkedIn</v>
          </cell>
          <cell r="D63" t="str">
            <v>BI Developer</v>
          </cell>
          <cell r="F63" t="str">
            <v>Bengaluru</v>
          </cell>
          <cell r="G63" t="str">
            <v>ND</v>
          </cell>
          <cell r="H63" t="str">
            <v>ND</v>
          </cell>
          <cell r="I63" t="str">
            <v>ND</v>
          </cell>
          <cell r="M63" t="str">
            <v>On-site</v>
          </cell>
          <cell r="O63">
            <v>0</v>
          </cell>
          <cell r="P63">
            <v>0</v>
          </cell>
          <cell r="Q63">
            <v>1</v>
          </cell>
          <cell r="R63">
            <v>0</v>
          </cell>
          <cell r="S63">
            <v>0</v>
          </cell>
          <cell r="T63">
            <v>0</v>
          </cell>
          <cell r="U63">
            <v>0</v>
          </cell>
          <cell r="V63">
            <v>0</v>
          </cell>
          <cell r="W63">
            <v>0</v>
          </cell>
          <cell r="X63">
            <v>0</v>
          </cell>
          <cell r="Y63">
            <v>0</v>
          </cell>
          <cell r="Z63">
            <v>0</v>
          </cell>
          <cell r="AA63">
            <v>0</v>
          </cell>
          <cell r="AB63">
            <v>0</v>
          </cell>
          <cell r="AC63">
            <v>1</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1</v>
          </cell>
          <cell r="AS63">
            <v>0</v>
          </cell>
          <cell r="AT63">
            <v>0</v>
          </cell>
          <cell r="AU63">
            <v>0</v>
          </cell>
          <cell r="AV63">
            <v>0</v>
          </cell>
          <cell r="AW63">
            <v>0</v>
          </cell>
          <cell r="AX63">
            <v>0</v>
          </cell>
          <cell r="AY63">
            <v>0</v>
          </cell>
          <cell r="AZ63" t="str">
            <v>Fulltime</v>
          </cell>
        </row>
        <row r="64">
          <cell r="A64">
            <v>63</v>
          </cell>
          <cell r="C64" t="str">
            <v>LinkedIn</v>
          </cell>
          <cell r="D64" t="str">
            <v>BI Developer</v>
          </cell>
          <cell r="F64" t="str">
            <v>Bengaluru</v>
          </cell>
          <cell r="G64">
            <v>1</v>
          </cell>
          <cell r="H64">
            <v>5</v>
          </cell>
          <cell r="I64" t="str">
            <v>ND</v>
          </cell>
          <cell r="M64" t="str">
            <v>On-site</v>
          </cell>
          <cell r="O64">
            <v>1</v>
          </cell>
          <cell r="P64">
            <v>0</v>
          </cell>
          <cell r="Q64">
            <v>1</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1</v>
          </cell>
          <cell r="AI64">
            <v>0</v>
          </cell>
          <cell r="AJ64">
            <v>0</v>
          </cell>
          <cell r="AK64">
            <v>0</v>
          </cell>
          <cell r="AL64">
            <v>0</v>
          </cell>
          <cell r="AM64">
            <v>1</v>
          </cell>
          <cell r="AN64">
            <v>0</v>
          </cell>
          <cell r="AO64">
            <v>0</v>
          </cell>
          <cell r="AP64">
            <v>0</v>
          </cell>
          <cell r="AQ64">
            <v>1</v>
          </cell>
          <cell r="AR64">
            <v>0</v>
          </cell>
          <cell r="AS64">
            <v>0</v>
          </cell>
          <cell r="AT64">
            <v>0</v>
          </cell>
          <cell r="AU64">
            <v>0</v>
          </cell>
          <cell r="AV64">
            <v>0</v>
          </cell>
          <cell r="AW64">
            <v>0</v>
          </cell>
          <cell r="AX64">
            <v>0</v>
          </cell>
          <cell r="AY64">
            <v>0</v>
          </cell>
          <cell r="AZ64" t="str">
            <v>Fulltime</v>
          </cell>
        </row>
        <row r="65">
          <cell r="A65">
            <v>64</v>
          </cell>
          <cell r="C65" t="str">
            <v>LinkedIn</v>
          </cell>
          <cell r="D65" t="str">
            <v>Data Analyst</v>
          </cell>
          <cell r="F65" t="str">
            <v>Bengaluru</v>
          </cell>
          <cell r="G65">
            <v>6</v>
          </cell>
          <cell r="H65" t="str">
            <v>ND</v>
          </cell>
          <cell r="I65" t="str">
            <v>ND</v>
          </cell>
          <cell r="M65" t="str">
            <v>On-site</v>
          </cell>
          <cell r="O65">
            <v>1</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v>
          </cell>
          <cell r="AF65">
            <v>0</v>
          </cell>
          <cell r="AG65">
            <v>1</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1</v>
          </cell>
          <cell r="AX65">
            <v>0</v>
          </cell>
          <cell r="AY65">
            <v>0</v>
          </cell>
          <cell r="AZ65" t="str">
            <v>Fulltime</v>
          </cell>
        </row>
        <row r="66">
          <cell r="A66">
            <v>65</v>
          </cell>
          <cell r="C66" t="str">
            <v>LinkedIn</v>
          </cell>
          <cell r="D66" t="str">
            <v>BI Developer</v>
          </cell>
          <cell r="F66" t="str">
            <v>Hyderabad</v>
          </cell>
          <cell r="G66" t="str">
            <v>ND</v>
          </cell>
          <cell r="H66" t="str">
            <v>ND</v>
          </cell>
          <cell r="I66" t="str">
            <v>ND</v>
          </cell>
          <cell r="M66" t="str">
            <v>On-site</v>
          </cell>
          <cell r="O66">
            <v>1</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t="str">
            <v>Fulltime</v>
          </cell>
        </row>
        <row r="67">
          <cell r="A67">
            <v>66</v>
          </cell>
          <cell r="C67" t="str">
            <v>LinkedIn</v>
          </cell>
          <cell r="D67" t="str">
            <v>BI Developer</v>
          </cell>
          <cell r="F67" t="str">
            <v>Bengaluru</v>
          </cell>
          <cell r="G67">
            <v>3</v>
          </cell>
          <cell r="H67">
            <v>5</v>
          </cell>
          <cell r="I67" t="str">
            <v>ND</v>
          </cell>
          <cell r="M67" t="str">
            <v>On-site</v>
          </cell>
          <cell r="O67">
            <v>1</v>
          </cell>
          <cell r="P67">
            <v>0</v>
          </cell>
          <cell r="Q67">
            <v>1</v>
          </cell>
          <cell r="R67">
            <v>0</v>
          </cell>
          <cell r="S67">
            <v>0</v>
          </cell>
          <cell r="T67">
            <v>0</v>
          </cell>
          <cell r="U67">
            <v>0</v>
          </cell>
          <cell r="V67">
            <v>0</v>
          </cell>
          <cell r="W67">
            <v>0</v>
          </cell>
          <cell r="X67">
            <v>1</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t="str">
            <v>Fulltime</v>
          </cell>
        </row>
        <row r="68">
          <cell r="A68">
            <v>67</v>
          </cell>
          <cell r="C68" t="str">
            <v>LinkedIn</v>
          </cell>
          <cell r="D68" t="str">
            <v>BI Developer</v>
          </cell>
          <cell r="F68" t="str">
            <v>Gurgaon</v>
          </cell>
          <cell r="G68">
            <v>1</v>
          </cell>
          <cell r="H68">
            <v>5</v>
          </cell>
          <cell r="I68" t="str">
            <v>ND</v>
          </cell>
          <cell r="M68" t="str">
            <v>On-site</v>
          </cell>
          <cell r="O68">
            <v>1</v>
          </cell>
          <cell r="P68">
            <v>0</v>
          </cell>
          <cell r="Q68">
            <v>1</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1</v>
          </cell>
          <cell r="AV68">
            <v>0</v>
          </cell>
          <cell r="AW68">
            <v>0</v>
          </cell>
          <cell r="AX68">
            <v>0</v>
          </cell>
          <cell r="AY68">
            <v>0</v>
          </cell>
          <cell r="AZ68" t="str">
            <v>Fulltime</v>
          </cell>
        </row>
        <row r="69">
          <cell r="A69">
            <v>68</v>
          </cell>
          <cell r="C69" t="str">
            <v>LinkedIn</v>
          </cell>
          <cell r="D69" t="str">
            <v>BI Developer</v>
          </cell>
          <cell r="F69" t="str">
            <v>Bengaluru</v>
          </cell>
          <cell r="G69">
            <v>3</v>
          </cell>
          <cell r="H69">
            <v>5</v>
          </cell>
          <cell r="I69" t="str">
            <v>ND</v>
          </cell>
          <cell r="M69" t="str">
            <v>On-site</v>
          </cell>
          <cell r="O69">
            <v>1</v>
          </cell>
          <cell r="P69">
            <v>0</v>
          </cell>
          <cell r="Q69">
            <v>0</v>
          </cell>
          <cell r="R69">
            <v>1</v>
          </cell>
          <cell r="S69">
            <v>0</v>
          </cell>
          <cell r="T69">
            <v>0</v>
          </cell>
          <cell r="U69">
            <v>0</v>
          </cell>
          <cell r="V69">
            <v>0</v>
          </cell>
          <cell r="W69">
            <v>0</v>
          </cell>
          <cell r="X69">
            <v>0</v>
          </cell>
          <cell r="Y69">
            <v>0</v>
          </cell>
          <cell r="Z69">
            <v>0</v>
          </cell>
          <cell r="AA69">
            <v>0</v>
          </cell>
          <cell r="AB69">
            <v>0</v>
          </cell>
          <cell r="AC69">
            <v>1</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1</v>
          </cell>
          <cell r="AS69">
            <v>0</v>
          </cell>
          <cell r="AT69">
            <v>0</v>
          </cell>
          <cell r="AU69">
            <v>0</v>
          </cell>
          <cell r="AV69">
            <v>0</v>
          </cell>
          <cell r="AW69">
            <v>1</v>
          </cell>
          <cell r="AX69">
            <v>0</v>
          </cell>
          <cell r="AY69">
            <v>0</v>
          </cell>
          <cell r="AZ69" t="str">
            <v>Fulltime</v>
          </cell>
        </row>
        <row r="70">
          <cell r="A70">
            <v>69</v>
          </cell>
          <cell r="C70" t="str">
            <v>LinkedIn</v>
          </cell>
          <cell r="D70" t="str">
            <v>BI Developer</v>
          </cell>
          <cell r="F70" t="str">
            <v>Bengaluru</v>
          </cell>
          <cell r="G70">
            <v>3</v>
          </cell>
          <cell r="H70" t="str">
            <v>ND</v>
          </cell>
          <cell r="I70" t="str">
            <v>ND</v>
          </cell>
          <cell r="M70" t="str">
            <v>On-site</v>
          </cell>
          <cell r="O70">
            <v>1</v>
          </cell>
          <cell r="P70">
            <v>0</v>
          </cell>
          <cell r="Q70">
            <v>1</v>
          </cell>
          <cell r="R70">
            <v>0</v>
          </cell>
          <cell r="S70">
            <v>0</v>
          </cell>
          <cell r="T70">
            <v>0</v>
          </cell>
          <cell r="U70">
            <v>0</v>
          </cell>
          <cell r="V70">
            <v>0</v>
          </cell>
          <cell r="W70">
            <v>0</v>
          </cell>
          <cell r="X70">
            <v>0</v>
          </cell>
          <cell r="Y70">
            <v>0</v>
          </cell>
          <cell r="Z70">
            <v>0</v>
          </cell>
          <cell r="AA70">
            <v>0</v>
          </cell>
          <cell r="AB70">
            <v>0</v>
          </cell>
          <cell r="AC70">
            <v>1</v>
          </cell>
          <cell r="AD70">
            <v>0</v>
          </cell>
          <cell r="AE70">
            <v>0</v>
          </cell>
          <cell r="AF70">
            <v>0</v>
          </cell>
          <cell r="AG70">
            <v>0</v>
          </cell>
          <cell r="AH70">
            <v>0</v>
          </cell>
          <cell r="AI70">
            <v>0</v>
          </cell>
          <cell r="AJ70">
            <v>0</v>
          </cell>
          <cell r="AK70">
            <v>0</v>
          </cell>
          <cell r="AL70">
            <v>0</v>
          </cell>
          <cell r="AM70">
            <v>1</v>
          </cell>
          <cell r="AN70">
            <v>0</v>
          </cell>
          <cell r="AO70">
            <v>0</v>
          </cell>
          <cell r="AP70">
            <v>0</v>
          </cell>
          <cell r="AQ70">
            <v>1</v>
          </cell>
          <cell r="AR70">
            <v>0</v>
          </cell>
          <cell r="AS70">
            <v>0</v>
          </cell>
          <cell r="AT70">
            <v>0</v>
          </cell>
          <cell r="AU70">
            <v>0</v>
          </cell>
          <cell r="AV70">
            <v>0</v>
          </cell>
          <cell r="AW70">
            <v>0</v>
          </cell>
          <cell r="AX70">
            <v>0</v>
          </cell>
          <cell r="AY70">
            <v>0</v>
          </cell>
          <cell r="AZ70" t="str">
            <v>Fulltime</v>
          </cell>
        </row>
        <row r="71">
          <cell r="A71">
            <v>70</v>
          </cell>
          <cell r="C71" t="str">
            <v>LinkedIn</v>
          </cell>
          <cell r="D71" t="str">
            <v>BI Developer</v>
          </cell>
          <cell r="F71" t="str">
            <v>Bengaluru</v>
          </cell>
          <cell r="G71">
            <v>3</v>
          </cell>
          <cell r="H71" t="str">
            <v>ND</v>
          </cell>
          <cell r="I71" t="str">
            <v>ND</v>
          </cell>
          <cell r="M71" t="str">
            <v>On-site</v>
          </cell>
          <cell r="O71">
            <v>1</v>
          </cell>
          <cell r="P71">
            <v>0</v>
          </cell>
          <cell r="Q71">
            <v>1</v>
          </cell>
          <cell r="R71">
            <v>0</v>
          </cell>
          <cell r="S71">
            <v>0</v>
          </cell>
          <cell r="T71">
            <v>0</v>
          </cell>
          <cell r="U71">
            <v>0</v>
          </cell>
          <cell r="V71">
            <v>0</v>
          </cell>
          <cell r="W71">
            <v>0</v>
          </cell>
          <cell r="X71">
            <v>0</v>
          </cell>
          <cell r="Y71">
            <v>0</v>
          </cell>
          <cell r="Z71">
            <v>0</v>
          </cell>
          <cell r="AA71">
            <v>0</v>
          </cell>
          <cell r="AB71">
            <v>0</v>
          </cell>
          <cell r="AC71">
            <v>1</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t="str">
            <v>Fulltime</v>
          </cell>
        </row>
        <row r="72">
          <cell r="A72">
            <v>71</v>
          </cell>
          <cell r="C72" t="str">
            <v>Naukri</v>
          </cell>
          <cell r="D72" t="str">
            <v>Data Analyst</v>
          </cell>
          <cell r="F72" t="str">
            <v>Pune</v>
          </cell>
          <cell r="G72">
            <v>0</v>
          </cell>
          <cell r="H72">
            <v>3</v>
          </cell>
          <cell r="I72">
            <v>0.5</v>
          </cell>
          <cell r="M72" t="str">
            <v>On-site</v>
          </cell>
          <cell r="O72">
            <v>1</v>
          </cell>
          <cell r="P72">
            <v>0</v>
          </cell>
          <cell r="Q72">
            <v>1</v>
          </cell>
          <cell r="R72">
            <v>1</v>
          </cell>
          <cell r="S72">
            <v>1</v>
          </cell>
          <cell r="T72">
            <v>1</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1</v>
          </cell>
          <cell r="AN72">
            <v>0</v>
          </cell>
          <cell r="AO72">
            <v>0</v>
          </cell>
          <cell r="AP72">
            <v>0</v>
          </cell>
          <cell r="AQ72">
            <v>0</v>
          </cell>
          <cell r="AR72">
            <v>0</v>
          </cell>
          <cell r="AS72">
            <v>0</v>
          </cell>
          <cell r="AT72">
            <v>0</v>
          </cell>
          <cell r="AU72">
            <v>0</v>
          </cell>
          <cell r="AV72">
            <v>0</v>
          </cell>
          <cell r="AW72">
            <v>0</v>
          </cell>
          <cell r="AX72">
            <v>0</v>
          </cell>
          <cell r="AY72">
            <v>0</v>
          </cell>
          <cell r="AZ72" t="str">
            <v>Fulltime</v>
          </cell>
        </row>
        <row r="73">
          <cell r="A73">
            <v>72</v>
          </cell>
          <cell r="C73" t="str">
            <v>Naukri</v>
          </cell>
          <cell r="D73" t="str">
            <v>Data Engineer</v>
          </cell>
          <cell r="F73" t="str">
            <v>Pune</v>
          </cell>
          <cell r="G73">
            <v>0</v>
          </cell>
          <cell r="H73">
            <v>2</v>
          </cell>
          <cell r="I73" t="str">
            <v>ND</v>
          </cell>
          <cell r="M73" t="str">
            <v>On-site</v>
          </cell>
          <cell r="O73">
            <v>1</v>
          </cell>
          <cell r="P73">
            <v>1</v>
          </cell>
          <cell r="Q73">
            <v>1</v>
          </cell>
          <cell r="R73">
            <v>0</v>
          </cell>
          <cell r="S73">
            <v>0</v>
          </cell>
          <cell r="T73">
            <v>0</v>
          </cell>
          <cell r="U73">
            <v>1</v>
          </cell>
          <cell r="V73">
            <v>0</v>
          </cell>
          <cell r="W73">
            <v>0</v>
          </cell>
          <cell r="X73">
            <v>0</v>
          </cell>
          <cell r="Y73">
            <v>0</v>
          </cell>
          <cell r="Z73">
            <v>0</v>
          </cell>
          <cell r="AA73">
            <v>0</v>
          </cell>
          <cell r="AB73">
            <v>1</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t="str">
            <v>Fulltime</v>
          </cell>
        </row>
        <row r="74">
          <cell r="A74">
            <v>73</v>
          </cell>
          <cell r="C74" t="str">
            <v>Naukri</v>
          </cell>
          <cell r="D74" t="str">
            <v>Data Analyst</v>
          </cell>
          <cell r="F74" t="str">
            <v>Bengaluru</v>
          </cell>
          <cell r="G74">
            <v>0</v>
          </cell>
          <cell r="H74">
            <v>2</v>
          </cell>
          <cell r="I74" t="str">
            <v>ND</v>
          </cell>
          <cell r="M74" t="str">
            <v>On-site</v>
          </cell>
          <cell r="O74">
            <v>1</v>
          </cell>
          <cell r="P74">
            <v>0</v>
          </cell>
          <cell r="Q74">
            <v>0</v>
          </cell>
          <cell r="R74">
            <v>0</v>
          </cell>
          <cell r="S74">
            <v>0</v>
          </cell>
          <cell r="T74">
            <v>0</v>
          </cell>
          <cell r="U74">
            <v>0</v>
          </cell>
          <cell r="V74">
            <v>0</v>
          </cell>
          <cell r="W74">
            <v>0</v>
          </cell>
          <cell r="X74">
            <v>1</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t="str">
            <v>Fulltime</v>
          </cell>
        </row>
        <row r="75">
          <cell r="A75">
            <v>74</v>
          </cell>
          <cell r="C75" t="str">
            <v>Naukri</v>
          </cell>
          <cell r="D75" t="str">
            <v>Business Analyst</v>
          </cell>
          <cell r="F75" t="str">
            <v>Hyderabad</v>
          </cell>
          <cell r="G75">
            <v>0</v>
          </cell>
          <cell r="H75">
            <v>5</v>
          </cell>
          <cell r="I75" t="str">
            <v>ND</v>
          </cell>
          <cell r="M75" t="str">
            <v>On-site</v>
          </cell>
          <cell r="O75">
            <v>0</v>
          </cell>
          <cell r="P75">
            <v>0</v>
          </cell>
          <cell r="Q75">
            <v>0</v>
          </cell>
          <cell r="R75">
            <v>0</v>
          </cell>
          <cell r="S75">
            <v>1</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t="str">
            <v>Fulltime</v>
          </cell>
        </row>
        <row r="76">
          <cell r="A76">
            <v>75</v>
          </cell>
          <cell r="C76" t="str">
            <v>Naukri</v>
          </cell>
          <cell r="D76" t="str">
            <v>Data Analyst</v>
          </cell>
          <cell r="F76" t="str">
            <v>Mumbai</v>
          </cell>
          <cell r="G76">
            <v>0</v>
          </cell>
          <cell r="H76">
            <v>5</v>
          </cell>
          <cell r="I76" t="str">
            <v>ND</v>
          </cell>
          <cell r="M76" t="str">
            <v>On-site</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t="str">
            <v>Fulltime</v>
          </cell>
        </row>
        <row r="77">
          <cell r="A77">
            <v>76</v>
          </cell>
          <cell r="C77" t="str">
            <v>Naukri</v>
          </cell>
          <cell r="D77" t="str">
            <v>MIS Analyst</v>
          </cell>
          <cell r="F77" t="str">
            <v>Bengaluru</v>
          </cell>
          <cell r="G77">
            <v>0</v>
          </cell>
          <cell r="H77">
            <v>2</v>
          </cell>
          <cell r="I77">
            <v>4</v>
          </cell>
          <cell r="M77" t="str">
            <v>Remote</v>
          </cell>
          <cell r="O77">
            <v>1</v>
          </cell>
          <cell r="P77">
            <v>0</v>
          </cell>
          <cell r="Q77">
            <v>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t="str">
            <v>Fulltime</v>
          </cell>
        </row>
        <row r="78">
          <cell r="A78">
            <v>77</v>
          </cell>
          <cell r="C78" t="str">
            <v>Naukri</v>
          </cell>
          <cell r="D78" t="str">
            <v>Data Analyst</v>
          </cell>
          <cell r="F78" t="str">
            <v>Gurgaon</v>
          </cell>
          <cell r="G78">
            <v>0</v>
          </cell>
          <cell r="H78">
            <v>1</v>
          </cell>
          <cell r="I78" t="str">
            <v>ND</v>
          </cell>
          <cell r="M78" t="str">
            <v>On-site</v>
          </cell>
          <cell r="O78">
            <v>1</v>
          </cell>
          <cell r="P78">
            <v>1</v>
          </cell>
          <cell r="Q78">
            <v>0</v>
          </cell>
          <cell r="R78">
            <v>0</v>
          </cell>
          <cell r="S78">
            <v>1</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t="str">
            <v>Fulltime</v>
          </cell>
        </row>
        <row r="79">
          <cell r="A79">
            <v>78</v>
          </cell>
          <cell r="C79" t="str">
            <v>Naukri</v>
          </cell>
          <cell r="D79" t="str">
            <v>Data Analyst</v>
          </cell>
          <cell r="F79" t="str">
            <v>Delhi</v>
          </cell>
          <cell r="G79">
            <v>0</v>
          </cell>
          <cell r="H79">
            <v>4</v>
          </cell>
          <cell r="I79">
            <v>3</v>
          </cell>
          <cell r="M79" t="str">
            <v>On-site</v>
          </cell>
          <cell r="O79">
            <v>1</v>
          </cell>
          <cell r="P79">
            <v>1</v>
          </cell>
          <cell r="Q79">
            <v>1</v>
          </cell>
          <cell r="R79">
            <v>0</v>
          </cell>
          <cell r="S79">
            <v>1</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t="str">
            <v>Fulltime</v>
          </cell>
        </row>
        <row r="80">
          <cell r="A80">
            <v>79</v>
          </cell>
          <cell r="C80" t="str">
            <v>Naukri</v>
          </cell>
          <cell r="D80" t="str">
            <v>BI Developer</v>
          </cell>
          <cell r="F80" t="str">
            <v>Bengaluru</v>
          </cell>
          <cell r="G80">
            <v>0</v>
          </cell>
          <cell r="H80">
            <v>4</v>
          </cell>
          <cell r="I80" t="str">
            <v>ND</v>
          </cell>
          <cell r="M80" t="str">
            <v>On-site</v>
          </cell>
          <cell r="O80">
            <v>1</v>
          </cell>
          <cell r="P80">
            <v>0</v>
          </cell>
          <cell r="Q80">
            <v>1</v>
          </cell>
          <cell r="R80">
            <v>0</v>
          </cell>
          <cell r="S80">
            <v>0</v>
          </cell>
          <cell r="T80">
            <v>0</v>
          </cell>
          <cell r="U80">
            <v>0</v>
          </cell>
          <cell r="V80">
            <v>0</v>
          </cell>
          <cell r="W80">
            <v>0</v>
          </cell>
          <cell r="X80">
            <v>0</v>
          </cell>
          <cell r="Y80">
            <v>0</v>
          </cell>
          <cell r="Z80">
            <v>0</v>
          </cell>
          <cell r="AA80">
            <v>0</v>
          </cell>
          <cell r="AB80">
            <v>0</v>
          </cell>
          <cell r="AC80">
            <v>1</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t="str">
            <v>Fulltime</v>
          </cell>
        </row>
        <row r="81">
          <cell r="A81">
            <v>80</v>
          </cell>
          <cell r="C81" t="str">
            <v>Naukri</v>
          </cell>
          <cell r="D81" t="str">
            <v>Data Engineer</v>
          </cell>
          <cell r="F81" t="str">
            <v>Hyderabad</v>
          </cell>
          <cell r="G81">
            <v>0</v>
          </cell>
          <cell r="H81">
            <v>3</v>
          </cell>
          <cell r="I81" t="str">
            <v>ND</v>
          </cell>
          <cell r="M81" t="str">
            <v>On-site</v>
          </cell>
          <cell r="O81">
            <v>1</v>
          </cell>
          <cell r="P81">
            <v>1</v>
          </cell>
          <cell r="Q81">
            <v>0</v>
          </cell>
          <cell r="R81">
            <v>0</v>
          </cell>
          <cell r="S81">
            <v>0</v>
          </cell>
          <cell r="T81">
            <v>0</v>
          </cell>
          <cell r="U81">
            <v>0</v>
          </cell>
          <cell r="V81">
            <v>0</v>
          </cell>
          <cell r="W81">
            <v>0</v>
          </cell>
          <cell r="X81">
            <v>0</v>
          </cell>
          <cell r="Y81">
            <v>0</v>
          </cell>
          <cell r="Z81">
            <v>0</v>
          </cell>
          <cell r="AA81">
            <v>1</v>
          </cell>
          <cell r="AB81">
            <v>0</v>
          </cell>
          <cell r="AC81">
            <v>1</v>
          </cell>
          <cell r="AD81">
            <v>0</v>
          </cell>
          <cell r="AE81">
            <v>0</v>
          </cell>
          <cell r="AF81">
            <v>0</v>
          </cell>
          <cell r="AG81">
            <v>0</v>
          </cell>
          <cell r="AH81">
            <v>1</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t="str">
            <v>Fulltime</v>
          </cell>
        </row>
        <row r="82">
          <cell r="A82">
            <v>81</v>
          </cell>
          <cell r="C82" t="str">
            <v>Naukri</v>
          </cell>
          <cell r="D82" t="str">
            <v>Data Engineer</v>
          </cell>
          <cell r="F82" t="str">
            <v>Pune</v>
          </cell>
          <cell r="G82">
            <v>0</v>
          </cell>
          <cell r="H82">
            <v>2</v>
          </cell>
          <cell r="I82" t="str">
            <v>ND</v>
          </cell>
          <cell r="M82" t="str">
            <v>On-site</v>
          </cell>
          <cell r="O82">
            <v>1</v>
          </cell>
          <cell r="P82">
            <v>1</v>
          </cell>
          <cell r="Q82">
            <v>0</v>
          </cell>
          <cell r="R82">
            <v>0</v>
          </cell>
          <cell r="S82">
            <v>0</v>
          </cell>
          <cell r="T82">
            <v>0</v>
          </cell>
          <cell r="U82">
            <v>1</v>
          </cell>
          <cell r="V82">
            <v>0</v>
          </cell>
          <cell r="W82">
            <v>0</v>
          </cell>
          <cell r="X82">
            <v>0</v>
          </cell>
          <cell r="Y82">
            <v>0</v>
          </cell>
          <cell r="Z82">
            <v>0</v>
          </cell>
          <cell r="AA82">
            <v>0</v>
          </cell>
          <cell r="AB82">
            <v>1</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t="str">
            <v>Fulltime</v>
          </cell>
        </row>
        <row r="83">
          <cell r="A83">
            <v>82</v>
          </cell>
          <cell r="C83" t="str">
            <v>Naukri</v>
          </cell>
          <cell r="D83" t="str">
            <v>Data Analyst</v>
          </cell>
          <cell r="F83" t="str">
            <v>Bengaluru</v>
          </cell>
          <cell r="G83">
            <v>0</v>
          </cell>
          <cell r="H83">
            <v>3</v>
          </cell>
          <cell r="I83">
            <v>3</v>
          </cell>
          <cell r="M83" t="str">
            <v>On-site</v>
          </cell>
          <cell r="O83">
            <v>0</v>
          </cell>
          <cell r="P83">
            <v>1</v>
          </cell>
          <cell r="Q83">
            <v>0</v>
          </cell>
          <cell r="R83">
            <v>0</v>
          </cell>
          <cell r="S83">
            <v>1</v>
          </cell>
          <cell r="T83">
            <v>0</v>
          </cell>
          <cell r="U83">
            <v>0</v>
          </cell>
          <cell r="V83">
            <v>0</v>
          </cell>
          <cell r="W83">
            <v>0</v>
          </cell>
          <cell r="X83">
            <v>0</v>
          </cell>
          <cell r="Y83">
            <v>0</v>
          </cell>
          <cell r="Z83">
            <v>0</v>
          </cell>
          <cell r="AA83">
            <v>0</v>
          </cell>
          <cell r="AB83">
            <v>0</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t="str">
            <v>Fulltime</v>
          </cell>
        </row>
        <row r="84">
          <cell r="A84">
            <v>83</v>
          </cell>
          <cell r="C84" t="str">
            <v>Naukri</v>
          </cell>
          <cell r="D84" t="str">
            <v>MIS Analyst</v>
          </cell>
          <cell r="F84" t="str">
            <v>Delhi</v>
          </cell>
          <cell r="G84">
            <v>0</v>
          </cell>
          <cell r="H84">
            <v>2</v>
          </cell>
          <cell r="I84" t="str">
            <v>ND</v>
          </cell>
          <cell r="M84" t="str">
            <v>On-site</v>
          </cell>
          <cell r="O84">
            <v>1</v>
          </cell>
          <cell r="P84">
            <v>0</v>
          </cell>
          <cell r="Q84">
            <v>0</v>
          </cell>
          <cell r="R84">
            <v>0</v>
          </cell>
          <cell r="S84">
            <v>1</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t="str">
            <v>Fulltime</v>
          </cell>
        </row>
        <row r="85">
          <cell r="A85">
            <v>84</v>
          </cell>
          <cell r="C85" t="str">
            <v>Naukri</v>
          </cell>
          <cell r="D85" t="str">
            <v>MIS Analyst</v>
          </cell>
          <cell r="F85" t="str">
            <v>Bengaluru</v>
          </cell>
          <cell r="G85">
            <v>0</v>
          </cell>
          <cell r="H85">
            <v>1</v>
          </cell>
          <cell r="I85">
            <v>3</v>
          </cell>
          <cell r="M85" t="str">
            <v>On-site</v>
          </cell>
          <cell r="O85">
            <v>0</v>
          </cell>
          <cell r="P85">
            <v>0</v>
          </cell>
          <cell r="Q85">
            <v>0</v>
          </cell>
          <cell r="R85">
            <v>0</v>
          </cell>
          <cell r="S85">
            <v>1</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t="str">
            <v>Fulltime</v>
          </cell>
        </row>
        <row r="86">
          <cell r="A86">
            <v>85</v>
          </cell>
          <cell r="C86" t="str">
            <v>Naukri</v>
          </cell>
          <cell r="D86" t="str">
            <v>Business Analyst</v>
          </cell>
          <cell r="F86" t="str">
            <v>Gurgaon</v>
          </cell>
          <cell r="G86">
            <v>0</v>
          </cell>
          <cell r="H86">
            <v>2</v>
          </cell>
          <cell r="I86" t="str">
            <v>ND</v>
          </cell>
          <cell r="M86" t="str">
            <v>On-site</v>
          </cell>
          <cell r="O86">
            <v>0</v>
          </cell>
          <cell r="P86">
            <v>0</v>
          </cell>
          <cell r="Q86">
            <v>1</v>
          </cell>
          <cell r="R86">
            <v>0</v>
          </cell>
          <cell r="S86">
            <v>1</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t="str">
            <v>Fulltime</v>
          </cell>
        </row>
        <row r="87">
          <cell r="A87">
            <v>86</v>
          </cell>
          <cell r="C87" t="str">
            <v>Naukri</v>
          </cell>
          <cell r="D87" t="str">
            <v>Business Analyst</v>
          </cell>
          <cell r="F87" t="str">
            <v>Hyderabad</v>
          </cell>
          <cell r="G87">
            <v>0</v>
          </cell>
          <cell r="H87">
            <v>1</v>
          </cell>
          <cell r="I87" t="str">
            <v>ND</v>
          </cell>
          <cell r="M87" t="str">
            <v>On-site</v>
          </cell>
          <cell r="O87">
            <v>1</v>
          </cell>
          <cell r="P87">
            <v>0</v>
          </cell>
          <cell r="Q87">
            <v>0</v>
          </cell>
          <cell r="R87">
            <v>0</v>
          </cell>
          <cell r="S87">
            <v>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1</v>
          </cell>
          <cell r="AY87">
            <v>1</v>
          </cell>
          <cell r="AZ87" t="str">
            <v>Fulltime</v>
          </cell>
        </row>
        <row r="88">
          <cell r="A88">
            <v>87</v>
          </cell>
          <cell r="C88" t="str">
            <v>Naukri</v>
          </cell>
          <cell r="D88" t="str">
            <v>MIS Analyst</v>
          </cell>
          <cell r="F88" t="str">
            <v>Mumbai</v>
          </cell>
          <cell r="G88">
            <v>0</v>
          </cell>
          <cell r="H88">
            <v>4</v>
          </cell>
          <cell r="I88" t="str">
            <v>ND</v>
          </cell>
          <cell r="M88" t="str">
            <v>On-site</v>
          </cell>
          <cell r="O88">
            <v>0</v>
          </cell>
          <cell r="P88">
            <v>0</v>
          </cell>
          <cell r="Q88">
            <v>0</v>
          </cell>
          <cell r="R88">
            <v>0</v>
          </cell>
          <cell r="S88">
            <v>1</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t="str">
            <v>Fulltime</v>
          </cell>
        </row>
        <row r="89">
          <cell r="A89">
            <v>88</v>
          </cell>
          <cell r="C89" t="str">
            <v>Naukri</v>
          </cell>
          <cell r="D89" t="str">
            <v>Business Analyst</v>
          </cell>
          <cell r="F89" t="str">
            <v>Mumbai</v>
          </cell>
          <cell r="G89">
            <v>2</v>
          </cell>
          <cell r="H89">
            <v>5</v>
          </cell>
          <cell r="I89" t="str">
            <v>ND</v>
          </cell>
          <cell r="M89" t="str">
            <v>On-site</v>
          </cell>
          <cell r="O89">
            <v>0</v>
          </cell>
          <cell r="P89">
            <v>0</v>
          </cell>
          <cell r="Q89">
            <v>1</v>
          </cell>
          <cell r="R89">
            <v>1</v>
          </cell>
          <cell r="S89">
            <v>1</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1</v>
          </cell>
          <cell r="AO89">
            <v>0</v>
          </cell>
          <cell r="AP89">
            <v>0</v>
          </cell>
          <cell r="AQ89">
            <v>0</v>
          </cell>
          <cell r="AR89">
            <v>0</v>
          </cell>
          <cell r="AS89">
            <v>0</v>
          </cell>
          <cell r="AT89">
            <v>0</v>
          </cell>
          <cell r="AU89">
            <v>0</v>
          </cell>
          <cell r="AV89">
            <v>0</v>
          </cell>
          <cell r="AW89">
            <v>0</v>
          </cell>
          <cell r="AX89">
            <v>0</v>
          </cell>
          <cell r="AY89">
            <v>0</v>
          </cell>
          <cell r="AZ89" t="str">
            <v>Fulltime</v>
          </cell>
        </row>
        <row r="90">
          <cell r="A90">
            <v>89</v>
          </cell>
          <cell r="C90" t="str">
            <v>Naukri</v>
          </cell>
          <cell r="D90" t="str">
            <v>Business Analyst</v>
          </cell>
          <cell r="F90" t="str">
            <v>Noida</v>
          </cell>
          <cell r="G90">
            <v>0</v>
          </cell>
          <cell r="H90">
            <v>3</v>
          </cell>
          <cell r="I90" t="str">
            <v>ND</v>
          </cell>
          <cell r="M90" t="str">
            <v>On-site</v>
          </cell>
          <cell r="O90">
            <v>1</v>
          </cell>
          <cell r="P90">
            <v>1</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t="str">
            <v>Fulltime</v>
          </cell>
        </row>
        <row r="91">
          <cell r="A91">
            <v>90</v>
          </cell>
          <cell r="C91" t="str">
            <v>Naukri</v>
          </cell>
          <cell r="D91" t="str">
            <v>Business Analyst</v>
          </cell>
          <cell r="F91" t="str">
            <v>Noida</v>
          </cell>
          <cell r="G91">
            <v>0</v>
          </cell>
          <cell r="H91">
            <v>2</v>
          </cell>
          <cell r="I91" t="str">
            <v>ND</v>
          </cell>
          <cell r="M91" t="str">
            <v>On-site</v>
          </cell>
          <cell r="O91">
            <v>1</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1</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t="str">
            <v>Fulltime</v>
          </cell>
        </row>
        <row r="92">
          <cell r="A92">
            <v>91</v>
          </cell>
          <cell r="C92" t="str">
            <v>Naukri</v>
          </cell>
          <cell r="D92" t="str">
            <v>Business Analyst</v>
          </cell>
          <cell r="F92" t="str">
            <v>Mumbai</v>
          </cell>
          <cell r="G92">
            <v>0</v>
          </cell>
          <cell r="H92">
            <v>2</v>
          </cell>
          <cell r="I92" t="str">
            <v>ND</v>
          </cell>
          <cell r="M92" t="str">
            <v>On-site</v>
          </cell>
          <cell r="O92">
            <v>0</v>
          </cell>
          <cell r="P92">
            <v>0</v>
          </cell>
          <cell r="Q92">
            <v>0</v>
          </cell>
          <cell r="R92">
            <v>0</v>
          </cell>
          <cell r="S92">
            <v>1</v>
          </cell>
          <cell r="T92">
            <v>1</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t="str">
            <v>Fulltime</v>
          </cell>
        </row>
        <row r="93">
          <cell r="A93">
            <v>92</v>
          </cell>
          <cell r="C93" t="str">
            <v>Naukri</v>
          </cell>
          <cell r="D93" t="str">
            <v>Business Analyst</v>
          </cell>
          <cell r="F93" t="str">
            <v>Chennai</v>
          </cell>
          <cell r="G93">
            <v>0</v>
          </cell>
          <cell r="H93">
            <v>1</v>
          </cell>
          <cell r="I93" t="str">
            <v>ND</v>
          </cell>
          <cell r="M93" t="str">
            <v>On-site</v>
          </cell>
          <cell r="O93">
            <v>1</v>
          </cell>
          <cell r="P93">
            <v>0</v>
          </cell>
          <cell r="Q93">
            <v>0</v>
          </cell>
          <cell r="R93">
            <v>0</v>
          </cell>
          <cell r="S93">
            <v>1</v>
          </cell>
          <cell r="T93">
            <v>0</v>
          </cell>
          <cell r="U93">
            <v>0</v>
          </cell>
          <cell r="V93">
            <v>0</v>
          </cell>
          <cell r="W93">
            <v>0</v>
          </cell>
          <cell r="X93">
            <v>0</v>
          </cell>
          <cell r="Y93">
            <v>0</v>
          </cell>
          <cell r="Z93">
            <v>0</v>
          </cell>
          <cell r="AA93">
            <v>0</v>
          </cell>
          <cell r="AB93">
            <v>0</v>
          </cell>
          <cell r="AC93">
            <v>1</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t="str">
            <v>Fulltime</v>
          </cell>
        </row>
        <row r="94">
          <cell r="A94">
            <v>93</v>
          </cell>
          <cell r="C94" t="str">
            <v>Naukri</v>
          </cell>
          <cell r="D94" t="str">
            <v>Business Analyst</v>
          </cell>
          <cell r="F94" t="str">
            <v>Pune</v>
          </cell>
          <cell r="G94">
            <v>0</v>
          </cell>
          <cell r="H94">
            <v>2</v>
          </cell>
          <cell r="I94" t="str">
            <v>ND</v>
          </cell>
          <cell r="M94" t="str">
            <v>On-site</v>
          </cell>
          <cell r="O94">
            <v>0</v>
          </cell>
          <cell r="P94">
            <v>0</v>
          </cell>
          <cell r="Q94">
            <v>0</v>
          </cell>
          <cell r="R94">
            <v>0</v>
          </cell>
          <cell r="S94">
            <v>1</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1</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t="str">
            <v>Fulltime</v>
          </cell>
        </row>
        <row r="95">
          <cell r="A95">
            <v>94</v>
          </cell>
          <cell r="C95" t="str">
            <v>Naukri</v>
          </cell>
          <cell r="D95" t="str">
            <v>Business Analyst</v>
          </cell>
          <cell r="F95" t="str">
            <v>Chennai</v>
          </cell>
          <cell r="G95">
            <v>0</v>
          </cell>
          <cell r="H95">
            <v>2</v>
          </cell>
          <cell r="I95" t="str">
            <v>ND</v>
          </cell>
          <cell r="M95" t="str">
            <v>On-site</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1</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t="str">
            <v>Fulltime</v>
          </cell>
        </row>
        <row r="96">
          <cell r="A96">
            <v>95</v>
          </cell>
          <cell r="C96" t="str">
            <v>Naukri</v>
          </cell>
          <cell r="D96" t="str">
            <v>Business Analyst</v>
          </cell>
          <cell r="F96" t="str">
            <v>Gurgaon</v>
          </cell>
          <cell r="G96">
            <v>4</v>
          </cell>
          <cell r="H96" t="str">
            <v>ND</v>
          </cell>
          <cell r="I96" t="str">
            <v>ND</v>
          </cell>
          <cell r="M96" t="str">
            <v>On-site</v>
          </cell>
          <cell r="O96">
            <v>0</v>
          </cell>
          <cell r="P96">
            <v>0</v>
          </cell>
          <cell r="Q96">
            <v>0</v>
          </cell>
          <cell r="R96">
            <v>0</v>
          </cell>
          <cell r="S96">
            <v>1</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t="str">
            <v>Fulltime</v>
          </cell>
        </row>
        <row r="97">
          <cell r="A97">
            <v>96</v>
          </cell>
          <cell r="C97" t="str">
            <v>Naukri</v>
          </cell>
          <cell r="D97" t="str">
            <v>Business Analyst</v>
          </cell>
          <cell r="F97" t="str">
            <v>Bengaluru</v>
          </cell>
          <cell r="G97">
            <v>0</v>
          </cell>
          <cell r="H97">
            <v>1</v>
          </cell>
          <cell r="I97">
            <v>2</v>
          </cell>
          <cell r="M97" t="str">
            <v>On-site</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t="str">
            <v>Fulltime</v>
          </cell>
        </row>
        <row r="98">
          <cell r="A98">
            <v>97</v>
          </cell>
          <cell r="C98" t="str">
            <v>Naukri</v>
          </cell>
          <cell r="D98" t="str">
            <v>Business Analyst</v>
          </cell>
          <cell r="F98" t="str">
            <v>Hyderabad</v>
          </cell>
          <cell r="G98">
            <v>0</v>
          </cell>
          <cell r="H98">
            <v>2</v>
          </cell>
          <cell r="I98" t="str">
            <v>ND</v>
          </cell>
          <cell r="M98" t="str">
            <v>On-site</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1</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t="str">
            <v>Fulltime</v>
          </cell>
        </row>
        <row r="99">
          <cell r="A99">
            <v>98</v>
          </cell>
          <cell r="C99" t="str">
            <v>Naukri</v>
          </cell>
          <cell r="D99" t="str">
            <v>Business Analyst</v>
          </cell>
          <cell r="F99" t="str">
            <v>Hyderabad</v>
          </cell>
          <cell r="G99">
            <v>0</v>
          </cell>
          <cell r="H99">
            <v>3</v>
          </cell>
          <cell r="I99">
            <v>2</v>
          </cell>
          <cell r="M99" t="str">
            <v>On-site</v>
          </cell>
          <cell r="O99">
            <v>0</v>
          </cell>
          <cell r="P99">
            <v>0</v>
          </cell>
          <cell r="Q99">
            <v>0</v>
          </cell>
          <cell r="R99">
            <v>0</v>
          </cell>
          <cell r="S99">
            <v>1</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t="str">
            <v>Fulltime</v>
          </cell>
        </row>
        <row r="100">
          <cell r="A100">
            <v>99</v>
          </cell>
          <cell r="C100" t="str">
            <v>Naukri</v>
          </cell>
          <cell r="D100" t="str">
            <v>Business Analyst</v>
          </cell>
          <cell r="F100" t="str">
            <v>Chennai</v>
          </cell>
          <cell r="G100">
            <v>0</v>
          </cell>
          <cell r="H100">
            <v>1</v>
          </cell>
          <cell r="I100">
            <v>4</v>
          </cell>
          <cell r="M100" t="str">
            <v>On-site</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t="str">
            <v>Fulltime</v>
          </cell>
        </row>
        <row r="101">
          <cell r="A101">
            <v>100</v>
          </cell>
          <cell r="C101" t="str">
            <v>Naukri</v>
          </cell>
          <cell r="D101" t="str">
            <v>Business Analyst</v>
          </cell>
          <cell r="F101" t="str">
            <v>Noida</v>
          </cell>
          <cell r="G101">
            <v>0</v>
          </cell>
          <cell r="H101">
            <v>2</v>
          </cell>
          <cell r="I101" t="str">
            <v>ND</v>
          </cell>
          <cell r="M101" t="str">
            <v>On-site</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t="str">
            <v>Fulltime</v>
          </cell>
        </row>
        <row r="102">
          <cell r="A102">
            <v>101</v>
          </cell>
          <cell r="C102" t="str">
            <v>Naukri</v>
          </cell>
          <cell r="D102" t="str">
            <v>Data Analyst</v>
          </cell>
          <cell r="F102" t="str">
            <v>Gurgaon</v>
          </cell>
          <cell r="G102">
            <v>0</v>
          </cell>
          <cell r="H102">
            <v>4</v>
          </cell>
          <cell r="I102" t="str">
            <v>ND</v>
          </cell>
          <cell r="M102" t="str">
            <v>On-site</v>
          </cell>
          <cell r="O102">
            <v>1</v>
          </cell>
          <cell r="P102">
            <v>0</v>
          </cell>
          <cell r="Q102">
            <v>0</v>
          </cell>
          <cell r="R102">
            <v>1</v>
          </cell>
          <cell r="S102">
            <v>0</v>
          </cell>
          <cell r="T102">
            <v>0</v>
          </cell>
          <cell r="U102">
            <v>0</v>
          </cell>
          <cell r="V102">
            <v>0</v>
          </cell>
          <cell r="W102">
            <v>0</v>
          </cell>
          <cell r="X102">
            <v>0</v>
          </cell>
          <cell r="Y102">
            <v>0</v>
          </cell>
          <cell r="Z102">
            <v>0</v>
          </cell>
          <cell r="AA102">
            <v>0</v>
          </cell>
          <cell r="AB102">
            <v>0</v>
          </cell>
          <cell r="AC102">
            <v>1</v>
          </cell>
          <cell r="AD102">
            <v>0</v>
          </cell>
          <cell r="AE102">
            <v>0</v>
          </cell>
          <cell r="AF102">
            <v>0</v>
          </cell>
          <cell r="AG102">
            <v>0</v>
          </cell>
          <cell r="AH102">
            <v>0</v>
          </cell>
          <cell r="AI102">
            <v>0</v>
          </cell>
          <cell r="AJ102">
            <v>0</v>
          </cell>
          <cell r="AK102">
            <v>0</v>
          </cell>
          <cell r="AL102">
            <v>0</v>
          </cell>
          <cell r="AM102">
            <v>1</v>
          </cell>
          <cell r="AN102">
            <v>0</v>
          </cell>
          <cell r="AO102">
            <v>0</v>
          </cell>
          <cell r="AP102">
            <v>0</v>
          </cell>
          <cell r="AQ102">
            <v>0</v>
          </cell>
          <cell r="AR102">
            <v>0</v>
          </cell>
          <cell r="AS102">
            <v>0</v>
          </cell>
          <cell r="AT102">
            <v>0</v>
          </cell>
          <cell r="AU102">
            <v>0</v>
          </cell>
          <cell r="AV102">
            <v>0</v>
          </cell>
          <cell r="AW102">
            <v>0</v>
          </cell>
          <cell r="AX102">
            <v>0</v>
          </cell>
          <cell r="AY102">
            <v>0</v>
          </cell>
          <cell r="AZ102" t="str">
            <v>Fulltime</v>
          </cell>
        </row>
        <row r="103">
          <cell r="A103">
            <v>102</v>
          </cell>
          <cell r="C103" t="str">
            <v>Naukri</v>
          </cell>
          <cell r="D103" t="str">
            <v>Data Analyst</v>
          </cell>
          <cell r="F103" t="str">
            <v>Pune</v>
          </cell>
          <cell r="G103">
            <v>0</v>
          </cell>
          <cell r="H103">
            <v>4</v>
          </cell>
          <cell r="I103" t="str">
            <v>ND</v>
          </cell>
          <cell r="M103" t="str">
            <v>On-site</v>
          </cell>
          <cell r="O103">
            <v>1</v>
          </cell>
          <cell r="P103">
            <v>1</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t="str">
            <v>Fulltime</v>
          </cell>
        </row>
        <row r="104">
          <cell r="A104">
            <v>103</v>
          </cell>
          <cell r="C104" t="str">
            <v>Naukri</v>
          </cell>
          <cell r="D104" t="str">
            <v>Data Analyst</v>
          </cell>
          <cell r="F104" t="str">
            <v>Hyderabad</v>
          </cell>
          <cell r="G104">
            <v>0</v>
          </cell>
          <cell r="H104">
            <v>2</v>
          </cell>
          <cell r="I104">
            <v>2.25</v>
          </cell>
          <cell r="M104" t="str">
            <v>On-site</v>
          </cell>
          <cell r="O104">
            <v>1</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t="str">
            <v>Fulltime</v>
          </cell>
        </row>
        <row r="105">
          <cell r="A105">
            <v>104</v>
          </cell>
          <cell r="C105" t="str">
            <v>Naukri</v>
          </cell>
          <cell r="D105" t="str">
            <v>Business Analyst</v>
          </cell>
          <cell r="F105" t="str">
            <v>Hyderabad</v>
          </cell>
          <cell r="G105">
            <v>0</v>
          </cell>
          <cell r="H105">
            <v>3</v>
          </cell>
          <cell r="I105" t="str">
            <v>ND</v>
          </cell>
          <cell r="M105" t="str">
            <v>On-site</v>
          </cell>
          <cell r="O105">
            <v>0</v>
          </cell>
          <cell r="P105">
            <v>0</v>
          </cell>
          <cell r="Q105">
            <v>0</v>
          </cell>
          <cell r="R105">
            <v>0</v>
          </cell>
          <cell r="S105">
            <v>1</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t="str">
            <v>Fulltime</v>
          </cell>
        </row>
        <row r="106">
          <cell r="A106">
            <v>105</v>
          </cell>
          <cell r="C106" t="str">
            <v>Naukri</v>
          </cell>
          <cell r="D106" t="str">
            <v>Data Analyst</v>
          </cell>
          <cell r="F106" t="str">
            <v>Bengaluru</v>
          </cell>
          <cell r="G106">
            <v>0</v>
          </cell>
          <cell r="H106">
            <v>2</v>
          </cell>
          <cell r="I106" t="str">
            <v>ND</v>
          </cell>
          <cell r="M106" t="str">
            <v>On-site</v>
          </cell>
          <cell r="O106">
            <v>0</v>
          </cell>
          <cell r="P106">
            <v>0</v>
          </cell>
          <cell r="Q106">
            <v>1</v>
          </cell>
          <cell r="R106">
            <v>0</v>
          </cell>
          <cell r="S106">
            <v>1</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1</v>
          </cell>
          <cell r="AN106">
            <v>0</v>
          </cell>
          <cell r="AO106">
            <v>0</v>
          </cell>
          <cell r="AP106">
            <v>0</v>
          </cell>
          <cell r="AQ106">
            <v>0</v>
          </cell>
          <cell r="AR106">
            <v>0</v>
          </cell>
          <cell r="AS106">
            <v>0</v>
          </cell>
          <cell r="AT106">
            <v>0</v>
          </cell>
          <cell r="AU106">
            <v>0</v>
          </cell>
          <cell r="AV106">
            <v>0</v>
          </cell>
          <cell r="AW106">
            <v>0</v>
          </cell>
          <cell r="AX106">
            <v>0</v>
          </cell>
          <cell r="AY106">
            <v>0</v>
          </cell>
          <cell r="AZ106" t="str">
            <v>Fulltime</v>
          </cell>
        </row>
        <row r="107">
          <cell r="A107">
            <v>106</v>
          </cell>
          <cell r="C107" t="str">
            <v>Naukri</v>
          </cell>
          <cell r="D107" t="str">
            <v>Data Analyst</v>
          </cell>
          <cell r="F107" t="str">
            <v>Bengaluru</v>
          </cell>
          <cell r="G107">
            <v>0</v>
          </cell>
          <cell r="H107">
            <v>1</v>
          </cell>
          <cell r="I107" t="str">
            <v>ND</v>
          </cell>
          <cell r="M107" t="str">
            <v>Hybrid</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t="str">
            <v>Fulltime</v>
          </cell>
        </row>
        <row r="108">
          <cell r="A108">
            <v>107</v>
          </cell>
          <cell r="C108" t="str">
            <v>Naukri</v>
          </cell>
          <cell r="D108" t="str">
            <v>Data Analyst</v>
          </cell>
          <cell r="F108" t="str">
            <v>Hyderabad</v>
          </cell>
          <cell r="G108">
            <v>0</v>
          </cell>
          <cell r="H108">
            <v>2</v>
          </cell>
          <cell r="I108">
            <v>3.25</v>
          </cell>
          <cell r="M108" t="str">
            <v>Hybrid</v>
          </cell>
          <cell r="O108">
            <v>1</v>
          </cell>
          <cell r="P108">
            <v>0</v>
          </cell>
          <cell r="Q108">
            <v>1</v>
          </cell>
          <cell r="R108">
            <v>1</v>
          </cell>
          <cell r="S108">
            <v>1</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t="str">
            <v>Fulltime</v>
          </cell>
        </row>
        <row r="109">
          <cell r="A109">
            <v>108</v>
          </cell>
          <cell r="C109" t="str">
            <v>Naukri</v>
          </cell>
          <cell r="D109" t="str">
            <v>Data Analyst</v>
          </cell>
          <cell r="F109" t="str">
            <v>Mumbai</v>
          </cell>
          <cell r="G109">
            <v>0</v>
          </cell>
          <cell r="H109">
            <v>2</v>
          </cell>
          <cell r="I109" t="str">
            <v>ND</v>
          </cell>
          <cell r="M109" t="str">
            <v>On-site</v>
          </cell>
          <cell r="O109">
            <v>0</v>
          </cell>
          <cell r="P109">
            <v>0</v>
          </cell>
          <cell r="Q109">
            <v>0</v>
          </cell>
          <cell r="R109">
            <v>0</v>
          </cell>
          <cell r="S109">
            <v>1</v>
          </cell>
          <cell r="T109">
            <v>1</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t="str">
            <v>Fulltime</v>
          </cell>
        </row>
        <row r="110">
          <cell r="A110">
            <v>109</v>
          </cell>
          <cell r="C110" t="str">
            <v>Naukri</v>
          </cell>
          <cell r="D110" t="str">
            <v>Data Analyst</v>
          </cell>
          <cell r="F110" t="str">
            <v>Pune</v>
          </cell>
          <cell r="G110">
            <v>0</v>
          </cell>
          <cell r="H110">
            <v>2</v>
          </cell>
          <cell r="I110" t="str">
            <v>ND</v>
          </cell>
          <cell r="M110" t="str">
            <v>On-site</v>
          </cell>
          <cell r="O110">
            <v>0</v>
          </cell>
          <cell r="P110">
            <v>0</v>
          </cell>
          <cell r="Q110">
            <v>0</v>
          </cell>
          <cell r="R110">
            <v>0</v>
          </cell>
          <cell r="S110">
            <v>1</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t="str">
            <v>Fulltime</v>
          </cell>
        </row>
        <row r="111">
          <cell r="A111">
            <v>110</v>
          </cell>
          <cell r="C111" t="str">
            <v>Naukri</v>
          </cell>
          <cell r="D111" t="str">
            <v>Business Analyst</v>
          </cell>
          <cell r="F111" t="str">
            <v>Gurgaon</v>
          </cell>
          <cell r="G111">
            <v>0</v>
          </cell>
          <cell r="H111">
            <v>3</v>
          </cell>
          <cell r="I111" t="str">
            <v>ND</v>
          </cell>
          <cell r="M111" t="str">
            <v>On-site</v>
          </cell>
          <cell r="O111">
            <v>1</v>
          </cell>
          <cell r="P111">
            <v>0</v>
          </cell>
          <cell r="Q111">
            <v>0</v>
          </cell>
          <cell r="R111">
            <v>0</v>
          </cell>
          <cell r="S111">
            <v>1</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t="str">
            <v>Fulltime</v>
          </cell>
        </row>
        <row r="112">
          <cell r="A112">
            <v>111</v>
          </cell>
          <cell r="C112" t="str">
            <v>Naukri</v>
          </cell>
          <cell r="D112" t="str">
            <v>Data Analyst</v>
          </cell>
          <cell r="F112" t="str">
            <v>Gurgaon</v>
          </cell>
          <cell r="G112">
            <v>0</v>
          </cell>
          <cell r="H112">
            <v>1</v>
          </cell>
          <cell r="I112">
            <v>2.25</v>
          </cell>
          <cell r="M112" t="str">
            <v>On-site</v>
          </cell>
          <cell r="O112">
            <v>0</v>
          </cell>
          <cell r="P112">
            <v>0</v>
          </cell>
          <cell r="Q112">
            <v>0</v>
          </cell>
          <cell r="R112">
            <v>0</v>
          </cell>
          <cell r="S112">
            <v>1</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t="str">
            <v>Fulltime</v>
          </cell>
        </row>
        <row r="113">
          <cell r="A113">
            <v>112</v>
          </cell>
          <cell r="C113" t="str">
            <v>Naukri</v>
          </cell>
          <cell r="D113" t="str">
            <v>Data Analyst</v>
          </cell>
          <cell r="F113" t="str">
            <v>Hyderabad</v>
          </cell>
          <cell r="G113">
            <v>0</v>
          </cell>
          <cell r="H113">
            <v>2</v>
          </cell>
          <cell r="I113" t="str">
            <v>ND</v>
          </cell>
          <cell r="M113" t="str">
            <v>On-site</v>
          </cell>
          <cell r="O113">
            <v>1</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1</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t="str">
            <v>Fulltime</v>
          </cell>
        </row>
        <row r="114">
          <cell r="A114">
            <v>113</v>
          </cell>
          <cell r="C114" t="str">
            <v>Naukri</v>
          </cell>
          <cell r="D114" t="str">
            <v>Data Analyst</v>
          </cell>
          <cell r="F114" t="str">
            <v>Hyderabad</v>
          </cell>
          <cell r="G114">
            <v>0</v>
          </cell>
          <cell r="H114">
            <v>1</v>
          </cell>
          <cell r="I114">
            <v>2.75</v>
          </cell>
          <cell r="M114" t="str">
            <v>On-site</v>
          </cell>
          <cell r="O114">
            <v>1</v>
          </cell>
          <cell r="P114">
            <v>0</v>
          </cell>
          <cell r="Q114">
            <v>0</v>
          </cell>
          <cell r="R114">
            <v>0</v>
          </cell>
          <cell r="S114">
            <v>1</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t="str">
            <v>Fulltime</v>
          </cell>
        </row>
        <row r="115">
          <cell r="A115">
            <v>114</v>
          </cell>
          <cell r="C115" t="str">
            <v>Naukri</v>
          </cell>
          <cell r="D115" t="str">
            <v>Data Analyst</v>
          </cell>
          <cell r="F115" t="str">
            <v>Mumbai</v>
          </cell>
          <cell r="G115">
            <v>0</v>
          </cell>
          <cell r="H115">
            <v>3</v>
          </cell>
          <cell r="I115" t="str">
            <v>ND</v>
          </cell>
          <cell r="M115" t="str">
            <v>On-site</v>
          </cell>
          <cell r="O115">
            <v>1</v>
          </cell>
          <cell r="P115">
            <v>1</v>
          </cell>
          <cell r="Q115">
            <v>1</v>
          </cell>
          <cell r="R115">
            <v>1</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t="str">
            <v>Fulltime</v>
          </cell>
        </row>
        <row r="116">
          <cell r="A116">
            <v>115</v>
          </cell>
          <cell r="C116" t="str">
            <v>Naukri</v>
          </cell>
          <cell r="D116" t="str">
            <v>Data Analyst</v>
          </cell>
          <cell r="F116" t="str">
            <v>Gurgaon</v>
          </cell>
          <cell r="G116">
            <v>0</v>
          </cell>
          <cell r="H116">
            <v>2</v>
          </cell>
          <cell r="I116" t="str">
            <v>ND</v>
          </cell>
          <cell r="M116" t="str">
            <v>On-site</v>
          </cell>
          <cell r="O116">
            <v>0</v>
          </cell>
          <cell r="P116">
            <v>1</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1</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t="str">
            <v>Fulltime</v>
          </cell>
        </row>
        <row r="117">
          <cell r="A117">
            <v>116</v>
          </cell>
          <cell r="C117" t="str">
            <v>Naukri</v>
          </cell>
          <cell r="D117" t="str">
            <v>Data Analyst</v>
          </cell>
          <cell r="F117" t="str">
            <v>Gurgaon</v>
          </cell>
          <cell r="G117">
            <v>0</v>
          </cell>
          <cell r="H117">
            <v>1</v>
          </cell>
          <cell r="I117" t="str">
            <v>ND</v>
          </cell>
          <cell r="M117" t="str">
            <v>On-site</v>
          </cell>
          <cell r="O117">
            <v>0</v>
          </cell>
          <cell r="P117">
            <v>0</v>
          </cell>
          <cell r="Q117">
            <v>1</v>
          </cell>
          <cell r="R117">
            <v>1</v>
          </cell>
          <cell r="S117">
            <v>1</v>
          </cell>
          <cell r="T117">
            <v>0</v>
          </cell>
          <cell r="U117">
            <v>0</v>
          </cell>
          <cell r="V117">
            <v>0</v>
          </cell>
          <cell r="W117">
            <v>0</v>
          </cell>
          <cell r="X117">
            <v>0</v>
          </cell>
          <cell r="Y117">
            <v>0</v>
          </cell>
          <cell r="Z117">
            <v>0</v>
          </cell>
          <cell r="AA117">
            <v>0</v>
          </cell>
          <cell r="AB117">
            <v>0</v>
          </cell>
          <cell r="AC117">
            <v>1</v>
          </cell>
          <cell r="AD117">
            <v>0</v>
          </cell>
          <cell r="AE117">
            <v>0</v>
          </cell>
          <cell r="AF117">
            <v>0</v>
          </cell>
          <cell r="AG117">
            <v>0</v>
          </cell>
          <cell r="AH117">
            <v>1</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t="str">
            <v>Fulltime</v>
          </cell>
        </row>
        <row r="118">
          <cell r="A118">
            <v>117</v>
          </cell>
          <cell r="C118" t="str">
            <v>Naukri</v>
          </cell>
          <cell r="D118" t="str">
            <v>Data Analyst</v>
          </cell>
          <cell r="F118" t="str">
            <v>Gurgaon</v>
          </cell>
          <cell r="G118">
            <v>0</v>
          </cell>
          <cell r="H118">
            <v>3</v>
          </cell>
          <cell r="I118" t="str">
            <v>ND</v>
          </cell>
          <cell r="M118" t="str">
            <v>On-site</v>
          </cell>
          <cell r="O118">
            <v>1</v>
          </cell>
          <cell r="P118">
            <v>0</v>
          </cell>
          <cell r="Q118">
            <v>1</v>
          </cell>
          <cell r="R118">
            <v>0</v>
          </cell>
          <cell r="S118">
            <v>1</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1</v>
          </cell>
          <cell r="AN118">
            <v>0</v>
          </cell>
          <cell r="AO118">
            <v>0</v>
          </cell>
          <cell r="AP118">
            <v>0</v>
          </cell>
          <cell r="AQ118">
            <v>0</v>
          </cell>
          <cell r="AR118">
            <v>0</v>
          </cell>
          <cell r="AS118">
            <v>0</v>
          </cell>
          <cell r="AT118">
            <v>0</v>
          </cell>
          <cell r="AU118">
            <v>0</v>
          </cell>
          <cell r="AV118">
            <v>0</v>
          </cell>
          <cell r="AW118">
            <v>0</v>
          </cell>
          <cell r="AX118">
            <v>0</v>
          </cell>
          <cell r="AY118">
            <v>0</v>
          </cell>
          <cell r="AZ118" t="str">
            <v>Fulltime</v>
          </cell>
        </row>
        <row r="119">
          <cell r="A119">
            <v>118</v>
          </cell>
          <cell r="C119" t="str">
            <v>Naukri</v>
          </cell>
          <cell r="D119" t="str">
            <v>Data Analyst</v>
          </cell>
          <cell r="F119" t="str">
            <v>Hyderabad</v>
          </cell>
          <cell r="G119">
            <v>0</v>
          </cell>
          <cell r="H119">
            <v>2</v>
          </cell>
          <cell r="I119">
            <v>3.75</v>
          </cell>
          <cell r="M119" t="str">
            <v>On-site</v>
          </cell>
          <cell r="O119">
            <v>1</v>
          </cell>
          <cell r="P119">
            <v>1</v>
          </cell>
          <cell r="Q119">
            <v>1</v>
          </cell>
          <cell r="R119">
            <v>1</v>
          </cell>
          <cell r="S119">
            <v>1</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t="str">
            <v>Fulltime</v>
          </cell>
        </row>
        <row r="120">
          <cell r="A120">
            <v>119</v>
          </cell>
          <cell r="C120" t="str">
            <v>Naukri</v>
          </cell>
          <cell r="D120" t="str">
            <v>Data Analyst</v>
          </cell>
          <cell r="F120" t="str">
            <v>Gurgaon</v>
          </cell>
          <cell r="G120">
            <v>1</v>
          </cell>
          <cell r="H120">
            <v>5</v>
          </cell>
          <cell r="I120" t="str">
            <v>ND</v>
          </cell>
          <cell r="M120" t="str">
            <v>On-site</v>
          </cell>
          <cell r="O120">
            <v>1</v>
          </cell>
          <cell r="P120">
            <v>1</v>
          </cell>
          <cell r="Q120">
            <v>0</v>
          </cell>
          <cell r="R120">
            <v>0</v>
          </cell>
          <cell r="S120">
            <v>1</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1</v>
          </cell>
          <cell r="AY120">
            <v>0</v>
          </cell>
          <cell r="AZ120" t="str">
            <v>Fulltime</v>
          </cell>
        </row>
        <row r="121">
          <cell r="A121">
            <v>120</v>
          </cell>
          <cell r="C121" t="str">
            <v>Naukri</v>
          </cell>
          <cell r="D121" t="str">
            <v>Data Analyst</v>
          </cell>
          <cell r="F121" t="str">
            <v>Delhi</v>
          </cell>
          <cell r="G121">
            <v>0</v>
          </cell>
          <cell r="H121">
            <v>5</v>
          </cell>
          <cell r="I121" t="str">
            <v>ND</v>
          </cell>
          <cell r="M121" t="str">
            <v>On-site</v>
          </cell>
          <cell r="O121">
            <v>1</v>
          </cell>
          <cell r="P121">
            <v>0</v>
          </cell>
          <cell r="Q121">
            <v>0</v>
          </cell>
          <cell r="R121">
            <v>0</v>
          </cell>
          <cell r="S121">
            <v>1</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t="str">
            <v>Fulltime</v>
          </cell>
        </row>
        <row r="122">
          <cell r="A122">
            <v>121</v>
          </cell>
          <cell r="C122" t="str">
            <v>Naukri</v>
          </cell>
          <cell r="D122" t="str">
            <v>Data Engineer</v>
          </cell>
          <cell r="F122" t="str">
            <v>Gurgaon</v>
          </cell>
          <cell r="G122">
            <v>0</v>
          </cell>
          <cell r="H122">
            <v>4</v>
          </cell>
          <cell r="I122" t="str">
            <v>ND</v>
          </cell>
          <cell r="M122" t="str">
            <v>On-site</v>
          </cell>
          <cell r="O122">
            <v>1</v>
          </cell>
          <cell r="P122">
            <v>1</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1</v>
          </cell>
          <cell r="AK122">
            <v>0</v>
          </cell>
          <cell r="AL122">
            <v>1</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t="str">
            <v>Fulltime</v>
          </cell>
        </row>
        <row r="123">
          <cell r="A123">
            <v>122</v>
          </cell>
          <cell r="C123" t="str">
            <v>Naukri</v>
          </cell>
          <cell r="D123" t="str">
            <v>Data Engineer</v>
          </cell>
          <cell r="F123" t="str">
            <v>Bengaluru</v>
          </cell>
          <cell r="G123">
            <v>0</v>
          </cell>
          <cell r="H123">
            <v>2</v>
          </cell>
          <cell r="I123" t="str">
            <v>ND</v>
          </cell>
          <cell r="M123" t="str">
            <v>On-site</v>
          </cell>
          <cell r="O123">
            <v>0</v>
          </cell>
          <cell r="P123">
            <v>1</v>
          </cell>
          <cell r="Q123">
            <v>0</v>
          </cell>
          <cell r="R123">
            <v>0</v>
          </cell>
          <cell r="S123">
            <v>0</v>
          </cell>
          <cell r="T123">
            <v>0</v>
          </cell>
          <cell r="U123">
            <v>0</v>
          </cell>
          <cell r="V123">
            <v>0</v>
          </cell>
          <cell r="W123">
            <v>0</v>
          </cell>
          <cell r="X123">
            <v>0</v>
          </cell>
          <cell r="Y123">
            <v>0</v>
          </cell>
          <cell r="Z123">
            <v>0</v>
          </cell>
          <cell r="AA123">
            <v>0</v>
          </cell>
          <cell r="AB123">
            <v>0</v>
          </cell>
          <cell r="AC123">
            <v>1</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t="str">
            <v>Fulltime</v>
          </cell>
        </row>
        <row r="124">
          <cell r="A124">
            <v>123</v>
          </cell>
          <cell r="C124" t="str">
            <v>Naukri</v>
          </cell>
          <cell r="D124" t="str">
            <v>Data Engineer</v>
          </cell>
          <cell r="F124" t="str">
            <v>Bengaluru</v>
          </cell>
          <cell r="G124">
            <v>0</v>
          </cell>
          <cell r="H124">
            <v>4</v>
          </cell>
          <cell r="I124" t="str">
            <v>ND</v>
          </cell>
          <cell r="M124" t="str">
            <v>On-site</v>
          </cell>
          <cell r="O124">
            <v>1</v>
          </cell>
          <cell r="P124">
            <v>0</v>
          </cell>
          <cell r="Q124">
            <v>0</v>
          </cell>
          <cell r="R124">
            <v>0</v>
          </cell>
          <cell r="S124">
            <v>0</v>
          </cell>
          <cell r="T124">
            <v>0</v>
          </cell>
          <cell r="U124">
            <v>1</v>
          </cell>
          <cell r="V124">
            <v>0</v>
          </cell>
          <cell r="W124">
            <v>1</v>
          </cell>
          <cell r="X124">
            <v>0</v>
          </cell>
          <cell r="Y124">
            <v>0</v>
          </cell>
          <cell r="Z124">
            <v>0</v>
          </cell>
          <cell r="AA124">
            <v>1</v>
          </cell>
          <cell r="AB124">
            <v>0</v>
          </cell>
          <cell r="AC124">
            <v>1</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t="str">
            <v>Fulltime</v>
          </cell>
        </row>
        <row r="125">
          <cell r="A125">
            <v>124</v>
          </cell>
          <cell r="C125" t="str">
            <v>Naukri</v>
          </cell>
          <cell r="D125" t="str">
            <v>Data Engineer</v>
          </cell>
          <cell r="F125" t="str">
            <v>Bengaluru</v>
          </cell>
          <cell r="G125">
            <v>0</v>
          </cell>
          <cell r="H125">
            <v>4</v>
          </cell>
          <cell r="I125" t="str">
            <v>ND</v>
          </cell>
          <cell r="M125" t="str">
            <v>On-site</v>
          </cell>
          <cell r="O125">
            <v>1</v>
          </cell>
          <cell r="P125">
            <v>1</v>
          </cell>
          <cell r="Q125">
            <v>0</v>
          </cell>
          <cell r="R125">
            <v>0</v>
          </cell>
          <cell r="S125">
            <v>0</v>
          </cell>
          <cell r="T125">
            <v>0</v>
          </cell>
          <cell r="U125">
            <v>0</v>
          </cell>
          <cell r="V125">
            <v>0</v>
          </cell>
          <cell r="W125">
            <v>1</v>
          </cell>
          <cell r="X125">
            <v>1</v>
          </cell>
          <cell r="Y125">
            <v>0</v>
          </cell>
          <cell r="Z125">
            <v>0</v>
          </cell>
          <cell r="AA125">
            <v>1</v>
          </cell>
          <cell r="AB125">
            <v>1</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t="str">
            <v>Fulltime</v>
          </cell>
        </row>
        <row r="126">
          <cell r="A126">
            <v>125</v>
          </cell>
          <cell r="C126" t="str">
            <v>Naukri</v>
          </cell>
          <cell r="D126" t="str">
            <v>Data Engineer</v>
          </cell>
          <cell r="F126" t="str">
            <v>Noida</v>
          </cell>
          <cell r="G126">
            <v>0</v>
          </cell>
          <cell r="H126">
            <v>2</v>
          </cell>
          <cell r="I126" t="str">
            <v>ND</v>
          </cell>
          <cell r="M126" t="str">
            <v>On-site</v>
          </cell>
          <cell r="O126">
            <v>1</v>
          </cell>
          <cell r="P126">
            <v>1</v>
          </cell>
          <cell r="Q126">
            <v>0</v>
          </cell>
          <cell r="R126">
            <v>0</v>
          </cell>
          <cell r="S126">
            <v>0</v>
          </cell>
          <cell r="T126">
            <v>0</v>
          </cell>
          <cell r="U126">
            <v>0</v>
          </cell>
          <cell r="V126">
            <v>0</v>
          </cell>
          <cell r="W126">
            <v>0</v>
          </cell>
          <cell r="X126">
            <v>0</v>
          </cell>
          <cell r="Y126">
            <v>0</v>
          </cell>
          <cell r="Z126">
            <v>0</v>
          </cell>
          <cell r="AA126">
            <v>1</v>
          </cell>
          <cell r="AB126">
            <v>0</v>
          </cell>
          <cell r="AC126">
            <v>1</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t="str">
            <v>Fulltime</v>
          </cell>
        </row>
        <row r="127">
          <cell r="A127">
            <v>126</v>
          </cell>
          <cell r="C127" t="str">
            <v>Naukri</v>
          </cell>
          <cell r="D127" t="str">
            <v>Data Engineer</v>
          </cell>
          <cell r="F127" t="str">
            <v>Remote</v>
          </cell>
          <cell r="G127">
            <v>0</v>
          </cell>
          <cell r="H127">
            <v>3</v>
          </cell>
          <cell r="I127" t="str">
            <v>ND</v>
          </cell>
          <cell r="M127" t="str">
            <v>Remote</v>
          </cell>
          <cell r="O127">
            <v>1</v>
          </cell>
          <cell r="P127">
            <v>1</v>
          </cell>
          <cell r="Q127">
            <v>0</v>
          </cell>
          <cell r="R127">
            <v>0</v>
          </cell>
          <cell r="S127">
            <v>0</v>
          </cell>
          <cell r="T127">
            <v>0</v>
          </cell>
          <cell r="U127">
            <v>0</v>
          </cell>
          <cell r="V127">
            <v>0</v>
          </cell>
          <cell r="W127">
            <v>0</v>
          </cell>
          <cell r="X127">
            <v>0</v>
          </cell>
          <cell r="Y127">
            <v>1</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t="str">
            <v>Fulltime</v>
          </cell>
        </row>
        <row r="128">
          <cell r="A128">
            <v>127</v>
          </cell>
          <cell r="C128" t="str">
            <v>Naukri</v>
          </cell>
          <cell r="D128" t="str">
            <v>Data Engineer</v>
          </cell>
          <cell r="F128" t="str">
            <v>Hyderabad</v>
          </cell>
          <cell r="G128">
            <v>0</v>
          </cell>
          <cell r="H128">
            <v>2</v>
          </cell>
          <cell r="I128" t="str">
            <v>ND</v>
          </cell>
          <cell r="M128" t="str">
            <v>On-site</v>
          </cell>
          <cell r="O128">
            <v>0</v>
          </cell>
          <cell r="P128">
            <v>1</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t="str">
            <v>Fulltime</v>
          </cell>
        </row>
        <row r="129">
          <cell r="A129">
            <v>128</v>
          </cell>
          <cell r="C129" t="str">
            <v>Naukri</v>
          </cell>
          <cell r="D129" t="str">
            <v>Data Engineer</v>
          </cell>
          <cell r="F129" t="str">
            <v>Bengaluru</v>
          </cell>
          <cell r="G129">
            <v>0</v>
          </cell>
          <cell r="H129">
            <v>4</v>
          </cell>
          <cell r="I129" t="str">
            <v>ND</v>
          </cell>
          <cell r="M129" t="str">
            <v>On-site</v>
          </cell>
          <cell r="O129">
            <v>1</v>
          </cell>
          <cell r="P129">
            <v>0</v>
          </cell>
          <cell r="Q129">
            <v>0</v>
          </cell>
          <cell r="R129">
            <v>0</v>
          </cell>
          <cell r="S129">
            <v>0</v>
          </cell>
          <cell r="T129">
            <v>0</v>
          </cell>
          <cell r="U129">
            <v>1</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t="str">
            <v>Fulltime</v>
          </cell>
        </row>
        <row r="130">
          <cell r="A130">
            <v>129</v>
          </cell>
          <cell r="C130" t="str">
            <v>Naukri</v>
          </cell>
          <cell r="D130" t="str">
            <v>Data Engineer</v>
          </cell>
          <cell r="F130" t="str">
            <v>Delhi</v>
          </cell>
          <cell r="G130">
            <v>0</v>
          </cell>
          <cell r="H130">
            <v>2</v>
          </cell>
          <cell r="I130" t="str">
            <v>ND</v>
          </cell>
          <cell r="M130" t="str">
            <v>On-site</v>
          </cell>
          <cell r="O130">
            <v>0</v>
          </cell>
          <cell r="P130">
            <v>1</v>
          </cell>
          <cell r="Q130">
            <v>0</v>
          </cell>
          <cell r="R130">
            <v>0</v>
          </cell>
          <cell r="S130">
            <v>0</v>
          </cell>
          <cell r="T130">
            <v>0</v>
          </cell>
          <cell r="U130">
            <v>1</v>
          </cell>
          <cell r="V130">
            <v>0</v>
          </cell>
          <cell r="W130">
            <v>0</v>
          </cell>
          <cell r="X130">
            <v>0</v>
          </cell>
          <cell r="Y130">
            <v>0</v>
          </cell>
          <cell r="Z130">
            <v>0</v>
          </cell>
          <cell r="AA130">
            <v>1</v>
          </cell>
          <cell r="AB130">
            <v>0</v>
          </cell>
          <cell r="AC130">
            <v>1</v>
          </cell>
          <cell r="AD130">
            <v>0</v>
          </cell>
          <cell r="AE130">
            <v>0</v>
          </cell>
          <cell r="AF130">
            <v>0</v>
          </cell>
          <cell r="AG130">
            <v>0</v>
          </cell>
          <cell r="AH130">
            <v>0</v>
          </cell>
          <cell r="AI130">
            <v>0</v>
          </cell>
          <cell r="AJ130">
            <v>1</v>
          </cell>
          <cell r="AK130">
            <v>0</v>
          </cell>
          <cell r="AL130">
            <v>0</v>
          </cell>
          <cell r="AM130">
            <v>0</v>
          </cell>
          <cell r="AN130">
            <v>0</v>
          </cell>
          <cell r="AO130">
            <v>0</v>
          </cell>
          <cell r="AP130">
            <v>0</v>
          </cell>
          <cell r="AQ130">
            <v>0</v>
          </cell>
          <cell r="AR130">
            <v>1</v>
          </cell>
          <cell r="AS130">
            <v>1</v>
          </cell>
          <cell r="AT130">
            <v>0</v>
          </cell>
          <cell r="AU130">
            <v>0</v>
          </cell>
          <cell r="AV130">
            <v>0</v>
          </cell>
          <cell r="AW130">
            <v>0</v>
          </cell>
          <cell r="AX130">
            <v>0</v>
          </cell>
          <cell r="AY130">
            <v>0</v>
          </cell>
          <cell r="AZ130" t="str">
            <v>Fulltime</v>
          </cell>
        </row>
        <row r="131">
          <cell r="A131">
            <v>130</v>
          </cell>
          <cell r="C131" t="str">
            <v>Naukri</v>
          </cell>
          <cell r="D131" t="str">
            <v>Data Engineer</v>
          </cell>
          <cell r="F131" t="str">
            <v>Bengaluru</v>
          </cell>
          <cell r="G131">
            <v>0</v>
          </cell>
          <cell r="H131">
            <v>2</v>
          </cell>
          <cell r="I131" t="str">
            <v>ND</v>
          </cell>
          <cell r="M131" t="str">
            <v>On-site</v>
          </cell>
          <cell r="O131">
            <v>1</v>
          </cell>
          <cell r="P131">
            <v>0</v>
          </cell>
          <cell r="Q131">
            <v>0</v>
          </cell>
          <cell r="R131">
            <v>0</v>
          </cell>
          <cell r="S131">
            <v>0</v>
          </cell>
          <cell r="T131">
            <v>0</v>
          </cell>
          <cell r="U131">
            <v>0</v>
          </cell>
          <cell r="V131">
            <v>1</v>
          </cell>
          <cell r="W131">
            <v>0</v>
          </cell>
          <cell r="X131">
            <v>0</v>
          </cell>
          <cell r="Y131">
            <v>0</v>
          </cell>
          <cell r="Z131">
            <v>0</v>
          </cell>
          <cell r="AA131">
            <v>1</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1</v>
          </cell>
          <cell r="AP131">
            <v>0</v>
          </cell>
          <cell r="AQ131">
            <v>1</v>
          </cell>
          <cell r="AR131">
            <v>1</v>
          </cell>
          <cell r="AS131">
            <v>0</v>
          </cell>
          <cell r="AT131">
            <v>0</v>
          </cell>
          <cell r="AU131">
            <v>0</v>
          </cell>
          <cell r="AV131">
            <v>0</v>
          </cell>
          <cell r="AW131">
            <v>0</v>
          </cell>
          <cell r="AX131">
            <v>0</v>
          </cell>
          <cell r="AY131">
            <v>0</v>
          </cell>
          <cell r="AZ131" t="str">
            <v>Fulltime</v>
          </cell>
        </row>
        <row r="132">
          <cell r="A132">
            <v>131</v>
          </cell>
          <cell r="C132" t="str">
            <v>Naukri</v>
          </cell>
          <cell r="D132" t="str">
            <v>Data Engineer</v>
          </cell>
          <cell r="F132" t="str">
            <v>Gurgaon</v>
          </cell>
          <cell r="G132">
            <v>0</v>
          </cell>
          <cell r="H132">
            <v>8</v>
          </cell>
          <cell r="I132" t="str">
            <v>ND</v>
          </cell>
          <cell r="M132" t="str">
            <v>On-site</v>
          </cell>
          <cell r="O132">
            <v>1</v>
          </cell>
          <cell r="P132">
            <v>1</v>
          </cell>
          <cell r="Q132">
            <v>0</v>
          </cell>
          <cell r="R132">
            <v>0</v>
          </cell>
          <cell r="S132">
            <v>0</v>
          </cell>
          <cell r="T132">
            <v>0</v>
          </cell>
          <cell r="U132">
            <v>1</v>
          </cell>
          <cell r="V132">
            <v>0</v>
          </cell>
          <cell r="W132">
            <v>0</v>
          </cell>
          <cell r="X132">
            <v>0</v>
          </cell>
          <cell r="Y132">
            <v>0</v>
          </cell>
          <cell r="Z132">
            <v>0</v>
          </cell>
          <cell r="AA132">
            <v>1</v>
          </cell>
          <cell r="AB132">
            <v>0</v>
          </cell>
          <cell r="AC132">
            <v>0</v>
          </cell>
          <cell r="AD132">
            <v>1</v>
          </cell>
          <cell r="AE132">
            <v>1</v>
          </cell>
          <cell r="AF132">
            <v>0</v>
          </cell>
          <cell r="AG132">
            <v>1</v>
          </cell>
          <cell r="AH132">
            <v>0</v>
          </cell>
          <cell r="AI132">
            <v>0</v>
          </cell>
          <cell r="AJ132">
            <v>0</v>
          </cell>
          <cell r="AK132">
            <v>0</v>
          </cell>
          <cell r="AL132">
            <v>0</v>
          </cell>
          <cell r="AM132">
            <v>0</v>
          </cell>
          <cell r="AN132">
            <v>1</v>
          </cell>
          <cell r="AO132">
            <v>0</v>
          </cell>
          <cell r="AP132">
            <v>0</v>
          </cell>
          <cell r="AQ132">
            <v>1</v>
          </cell>
          <cell r="AR132">
            <v>0</v>
          </cell>
          <cell r="AS132">
            <v>0</v>
          </cell>
          <cell r="AT132">
            <v>0</v>
          </cell>
          <cell r="AU132">
            <v>0</v>
          </cell>
          <cell r="AV132">
            <v>0</v>
          </cell>
          <cell r="AW132">
            <v>0</v>
          </cell>
          <cell r="AX132">
            <v>0</v>
          </cell>
          <cell r="AY132">
            <v>0</v>
          </cell>
          <cell r="AZ132" t="str">
            <v>Fulltime</v>
          </cell>
        </row>
        <row r="133">
          <cell r="A133">
            <v>132</v>
          </cell>
          <cell r="C133" t="str">
            <v>Naukri</v>
          </cell>
          <cell r="D133" t="str">
            <v>Data Engineer</v>
          </cell>
          <cell r="F133" t="str">
            <v>Bengaluru</v>
          </cell>
          <cell r="G133">
            <v>0</v>
          </cell>
          <cell r="H133">
            <v>5</v>
          </cell>
          <cell r="I133" t="str">
            <v>ND</v>
          </cell>
          <cell r="M133" t="str">
            <v>On-site</v>
          </cell>
          <cell r="O133">
            <v>1</v>
          </cell>
          <cell r="P133">
            <v>1</v>
          </cell>
          <cell r="Q133">
            <v>1</v>
          </cell>
          <cell r="R133">
            <v>0</v>
          </cell>
          <cell r="S133">
            <v>0</v>
          </cell>
          <cell r="T133">
            <v>0</v>
          </cell>
          <cell r="U133">
            <v>0</v>
          </cell>
          <cell r="V133">
            <v>0</v>
          </cell>
          <cell r="W133">
            <v>0</v>
          </cell>
          <cell r="X133">
            <v>0</v>
          </cell>
          <cell r="Y133">
            <v>0</v>
          </cell>
          <cell r="Z133">
            <v>0</v>
          </cell>
          <cell r="AA133">
            <v>1</v>
          </cell>
          <cell r="AB133">
            <v>0</v>
          </cell>
          <cell r="AC133">
            <v>0</v>
          </cell>
          <cell r="AD133">
            <v>1</v>
          </cell>
          <cell r="AE133">
            <v>1</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1</v>
          </cell>
          <cell r="AZ133" t="str">
            <v>Fulltime</v>
          </cell>
        </row>
        <row r="134">
          <cell r="A134">
            <v>133</v>
          </cell>
          <cell r="C134" t="str">
            <v>Naukri</v>
          </cell>
          <cell r="D134" t="str">
            <v>Data Engineer</v>
          </cell>
          <cell r="F134" t="str">
            <v>Mumbai</v>
          </cell>
          <cell r="G134">
            <v>0</v>
          </cell>
          <cell r="H134">
            <v>2</v>
          </cell>
          <cell r="I134" t="str">
            <v>ND</v>
          </cell>
          <cell r="M134" t="str">
            <v>On-site</v>
          </cell>
          <cell r="O134">
            <v>1</v>
          </cell>
          <cell r="P134">
            <v>1</v>
          </cell>
          <cell r="Q134">
            <v>0</v>
          </cell>
          <cell r="R134">
            <v>0</v>
          </cell>
          <cell r="S134">
            <v>0</v>
          </cell>
          <cell r="T134">
            <v>0</v>
          </cell>
          <cell r="U134">
            <v>1</v>
          </cell>
          <cell r="V134">
            <v>1</v>
          </cell>
          <cell r="W134">
            <v>0</v>
          </cell>
          <cell r="X134">
            <v>0</v>
          </cell>
          <cell r="Y134">
            <v>0</v>
          </cell>
          <cell r="Z134">
            <v>0</v>
          </cell>
          <cell r="AA134">
            <v>0</v>
          </cell>
          <cell r="AB134">
            <v>0</v>
          </cell>
          <cell r="AC134">
            <v>0</v>
          </cell>
          <cell r="AD134">
            <v>1</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t="str">
            <v>Fulltime</v>
          </cell>
        </row>
        <row r="135">
          <cell r="A135">
            <v>134</v>
          </cell>
          <cell r="C135" t="str">
            <v>Naukri</v>
          </cell>
          <cell r="D135" t="str">
            <v>Data Engineer</v>
          </cell>
          <cell r="F135" t="str">
            <v>Pune</v>
          </cell>
          <cell r="G135">
            <v>0</v>
          </cell>
          <cell r="H135">
            <v>2</v>
          </cell>
          <cell r="I135" t="str">
            <v>ND</v>
          </cell>
          <cell r="M135" t="str">
            <v>On-site</v>
          </cell>
          <cell r="O135">
            <v>0</v>
          </cell>
          <cell r="P135">
            <v>1</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1</v>
          </cell>
          <cell r="AE135">
            <v>0</v>
          </cell>
          <cell r="AF135">
            <v>0</v>
          </cell>
          <cell r="AG135">
            <v>0</v>
          </cell>
          <cell r="AH135">
            <v>0</v>
          </cell>
          <cell r="AI135">
            <v>0</v>
          </cell>
          <cell r="AJ135">
            <v>0</v>
          </cell>
          <cell r="AK135">
            <v>0</v>
          </cell>
          <cell r="AL135">
            <v>1</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t="str">
            <v>Fulltime</v>
          </cell>
        </row>
        <row r="136">
          <cell r="A136">
            <v>135</v>
          </cell>
          <cell r="C136" t="str">
            <v>Naukri</v>
          </cell>
          <cell r="D136" t="str">
            <v>Data Engineer</v>
          </cell>
          <cell r="F136" t="str">
            <v>Pune</v>
          </cell>
          <cell r="G136">
            <v>0</v>
          </cell>
          <cell r="H136">
            <v>2</v>
          </cell>
          <cell r="I136" t="str">
            <v>ND</v>
          </cell>
          <cell r="M136" t="str">
            <v>On-site</v>
          </cell>
          <cell r="O136">
            <v>1</v>
          </cell>
          <cell r="P136">
            <v>1</v>
          </cell>
          <cell r="Q136">
            <v>0</v>
          </cell>
          <cell r="R136">
            <v>0</v>
          </cell>
          <cell r="S136">
            <v>0</v>
          </cell>
          <cell r="T136">
            <v>0</v>
          </cell>
          <cell r="U136">
            <v>0</v>
          </cell>
          <cell r="V136">
            <v>0</v>
          </cell>
          <cell r="W136">
            <v>0</v>
          </cell>
          <cell r="X136">
            <v>0</v>
          </cell>
          <cell r="Y136">
            <v>0</v>
          </cell>
          <cell r="Z136">
            <v>0</v>
          </cell>
          <cell r="AA136">
            <v>1</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t="str">
            <v>Fulltime</v>
          </cell>
        </row>
        <row r="137">
          <cell r="A137">
            <v>136</v>
          </cell>
          <cell r="C137" t="str">
            <v>Naukri</v>
          </cell>
          <cell r="D137" t="str">
            <v>Data Engineer</v>
          </cell>
          <cell r="F137" t="str">
            <v>Bengaluru</v>
          </cell>
          <cell r="G137">
            <v>0</v>
          </cell>
          <cell r="H137">
            <v>5</v>
          </cell>
          <cell r="I137" t="str">
            <v>ND</v>
          </cell>
          <cell r="M137" t="str">
            <v>On-site</v>
          </cell>
          <cell r="O137">
            <v>1</v>
          </cell>
          <cell r="P137">
            <v>1</v>
          </cell>
          <cell r="Q137">
            <v>0</v>
          </cell>
          <cell r="R137">
            <v>0</v>
          </cell>
          <cell r="S137">
            <v>0</v>
          </cell>
          <cell r="T137">
            <v>0</v>
          </cell>
          <cell r="U137">
            <v>1</v>
          </cell>
          <cell r="V137">
            <v>0</v>
          </cell>
          <cell r="W137">
            <v>0</v>
          </cell>
          <cell r="X137">
            <v>0</v>
          </cell>
          <cell r="Y137">
            <v>0</v>
          </cell>
          <cell r="Z137">
            <v>0</v>
          </cell>
          <cell r="AA137">
            <v>0</v>
          </cell>
          <cell r="AB137">
            <v>0</v>
          </cell>
          <cell r="AC137">
            <v>0</v>
          </cell>
          <cell r="AD137">
            <v>1</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t="str">
            <v>Fulltime</v>
          </cell>
        </row>
        <row r="138">
          <cell r="A138">
            <v>137</v>
          </cell>
          <cell r="C138" t="str">
            <v>Naukri</v>
          </cell>
          <cell r="D138" t="str">
            <v>BI Developer</v>
          </cell>
          <cell r="F138" t="str">
            <v>Gurgaon</v>
          </cell>
          <cell r="G138">
            <v>0</v>
          </cell>
          <cell r="H138">
            <v>5</v>
          </cell>
          <cell r="I138" t="str">
            <v>ND</v>
          </cell>
          <cell r="M138" t="str">
            <v>On-site</v>
          </cell>
          <cell r="O138">
            <v>1</v>
          </cell>
          <cell r="P138">
            <v>0</v>
          </cell>
          <cell r="Q138">
            <v>0</v>
          </cell>
          <cell r="R138">
            <v>1</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1</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t="str">
            <v>Fulltime</v>
          </cell>
        </row>
        <row r="139">
          <cell r="A139">
            <v>138</v>
          </cell>
          <cell r="C139" t="str">
            <v>Naukri</v>
          </cell>
          <cell r="D139" t="str">
            <v>Data Analyst</v>
          </cell>
          <cell r="F139" t="str">
            <v>Gurgaon</v>
          </cell>
          <cell r="G139">
            <v>0</v>
          </cell>
          <cell r="H139">
            <v>2</v>
          </cell>
          <cell r="I139" t="str">
            <v>ND</v>
          </cell>
          <cell r="M139" t="str">
            <v>On-site</v>
          </cell>
          <cell r="O139">
            <v>1</v>
          </cell>
          <cell r="P139">
            <v>1</v>
          </cell>
          <cell r="Q139">
            <v>1</v>
          </cell>
          <cell r="R139">
            <v>1</v>
          </cell>
          <cell r="S139">
            <v>0</v>
          </cell>
          <cell r="T139">
            <v>0</v>
          </cell>
          <cell r="U139">
            <v>1</v>
          </cell>
          <cell r="V139">
            <v>1</v>
          </cell>
          <cell r="W139">
            <v>1</v>
          </cell>
          <cell r="X139">
            <v>0</v>
          </cell>
          <cell r="Y139">
            <v>0</v>
          </cell>
          <cell r="Z139">
            <v>0</v>
          </cell>
          <cell r="AA139">
            <v>1</v>
          </cell>
          <cell r="AB139">
            <v>0</v>
          </cell>
          <cell r="AC139">
            <v>0</v>
          </cell>
          <cell r="AD139">
            <v>1</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t="str">
            <v>Fulltime</v>
          </cell>
        </row>
        <row r="140">
          <cell r="A140">
            <v>139</v>
          </cell>
          <cell r="C140" t="str">
            <v>Naukri</v>
          </cell>
          <cell r="D140" t="str">
            <v>BI Developer</v>
          </cell>
          <cell r="F140" t="str">
            <v>Bengaluru</v>
          </cell>
          <cell r="G140">
            <v>0</v>
          </cell>
          <cell r="H140">
            <v>5</v>
          </cell>
          <cell r="I140" t="str">
            <v>ND</v>
          </cell>
          <cell r="M140" t="str">
            <v>On-site</v>
          </cell>
          <cell r="O140">
            <v>1</v>
          </cell>
          <cell r="P140">
            <v>0</v>
          </cell>
          <cell r="Q140">
            <v>1</v>
          </cell>
          <cell r="R140">
            <v>1</v>
          </cell>
          <cell r="S140">
            <v>0</v>
          </cell>
          <cell r="T140">
            <v>0</v>
          </cell>
          <cell r="U140">
            <v>0</v>
          </cell>
          <cell r="V140">
            <v>0</v>
          </cell>
          <cell r="W140">
            <v>0</v>
          </cell>
          <cell r="X140">
            <v>0</v>
          </cell>
          <cell r="Y140">
            <v>0</v>
          </cell>
          <cell r="Z140">
            <v>0</v>
          </cell>
          <cell r="AA140">
            <v>0</v>
          </cell>
          <cell r="AB140">
            <v>0</v>
          </cell>
          <cell r="AC140">
            <v>1</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t="str">
            <v>Fulltime</v>
          </cell>
        </row>
        <row r="141">
          <cell r="A141">
            <v>140</v>
          </cell>
          <cell r="C141" t="str">
            <v>Foundit</v>
          </cell>
          <cell r="D141" t="str">
            <v>Data Engineer</v>
          </cell>
          <cell r="F141" t="str">
            <v>Noida</v>
          </cell>
          <cell r="G141">
            <v>0</v>
          </cell>
          <cell r="H141">
            <v>2</v>
          </cell>
          <cell r="I141" t="str">
            <v>ND</v>
          </cell>
          <cell r="M141" t="str">
            <v>On-site</v>
          </cell>
          <cell r="O141">
            <v>0</v>
          </cell>
          <cell r="P141">
            <v>1</v>
          </cell>
          <cell r="Q141">
            <v>0</v>
          </cell>
          <cell r="R141">
            <v>0</v>
          </cell>
          <cell r="S141">
            <v>0</v>
          </cell>
          <cell r="T141">
            <v>0</v>
          </cell>
          <cell r="U141">
            <v>1</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1</v>
          </cell>
          <cell r="AK141">
            <v>0</v>
          </cell>
          <cell r="AL141">
            <v>1</v>
          </cell>
          <cell r="AM141">
            <v>0</v>
          </cell>
          <cell r="AN141">
            <v>0</v>
          </cell>
          <cell r="AO141">
            <v>0</v>
          </cell>
          <cell r="AP141">
            <v>1</v>
          </cell>
          <cell r="AQ141">
            <v>0</v>
          </cell>
          <cell r="AR141">
            <v>0</v>
          </cell>
          <cell r="AS141">
            <v>0</v>
          </cell>
          <cell r="AT141">
            <v>0</v>
          </cell>
          <cell r="AU141">
            <v>0</v>
          </cell>
          <cell r="AV141">
            <v>0</v>
          </cell>
          <cell r="AW141">
            <v>0</v>
          </cell>
          <cell r="AX141">
            <v>0</v>
          </cell>
          <cell r="AY141">
            <v>0</v>
          </cell>
          <cell r="AZ141" t="str">
            <v>Fulltime</v>
          </cell>
        </row>
        <row r="142">
          <cell r="A142">
            <v>141</v>
          </cell>
          <cell r="C142" t="str">
            <v>Foundit</v>
          </cell>
          <cell r="D142" t="str">
            <v>Business Analyst</v>
          </cell>
          <cell r="F142" t="str">
            <v>Bengaluru</v>
          </cell>
          <cell r="G142">
            <v>3</v>
          </cell>
          <cell r="H142">
            <v>7</v>
          </cell>
          <cell r="I142" t="str">
            <v>ND</v>
          </cell>
          <cell r="M142" t="str">
            <v>On-site</v>
          </cell>
          <cell r="O142">
            <v>1</v>
          </cell>
          <cell r="P142">
            <v>0</v>
          </cell>
          <cell r="Q142">
            <v>0</v>
          </cell>
          <cell r="R142">
            <v>0</v>
          </cell>
          <cell r="S142">
            <v>0</v>
          </cell>
          <cell r="T142">
            <v>0</v>
          </cell>
          <cell r="U142">
            <v>1</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1</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t="str">
            <v>Fulltime</v>
          </cell>
        </row>
        <row r="143">
          <cell r="A143">
            <v>142</v>
          </cell>
          <cell r="C143" t="str">
            <v>Foundit</v>
          </cell>
          <cell r="F143" t="str">
            <v>Hyderabad</v>
          </cell>
          <cell r="G143">
            <v>5</v>
          </cell>
          <cell r="H143">
            <v>12</v>
          </cell>
          <cell r="I143">
            <v>27</v>
          </cell>
          <cell r="M143" t="str">
            <v>On-site</v>
          </cell>
          <cell r="O143">
            <v>1</v>
          </cell>
          <cell r="P143">
            <v>0</v>
          </cell>
          <cell r="Q143">
            <v>0</v>
          </cell>
          <cell r="R143">
            <v>0</v>
          </cell>
          <cell r="S143">
            <v>0</v>
          </cell>
          <cell r="T143">
            <v>0</v>
          </cell>
          <cell r="U143">
            <v>0</v>
          </cell>
          <cell r="V143">
            <v>1</v>
          </cell>
          <cell r="W143">
            <v>1</v>
          </cell>
          <cell r="X143">
            <v>1</v>
          </cell>
          <cell r="Y143">
            <v>0</v>
          </cell>
          <cell r="Z143">
            <v>0</v>
          </cell>
          <cell r="AA143">
            <v>1</v>
          </cell>
          <cell r="AB143">
            <v>1</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t="str">
            <v>Fulltime</v>
          </cell>
        </row>
        <row r="144">
          <cell r="A144">
            <v>143</v>
          </cell>
          <cell r="C144" t="str">
            <v>Foundit</v>
          </cell>
          <cell r="D144" t="str">
            <v>Data Analyst</v>
          </cell>
          <cell r="F144" t="str">
            <v>Hyderabad</v>
          </cell>
          <cell r="G144">
            <v>8</v>
          </cell>
          <cell r="H144">
            <v>10</v>
          </cell>
          <cell r="I144" t="str">
            <v>ND</v>
          </cell>
          <cell r="M144" t="str">
            <v>On-site</v>
          </cell>
          <cell r="O144">
            <v>1</v>
          </cell>
          <cell r="P144">
            <v>1</v>
          </cell>
          <cell r="Q144">
            <v>1</v>
          </cell>
          <cell r="R144">
            <v>0</v>
          </cell>
          <cell r="S144">
            <v>0</v>
          </cell>
          <cell r="T144">
            <v>0</v>
          </cell>
          <cell r="U144">
            <v>1</v>
          </cell>
          <cell r="V144">
            <v>0</v>
          </cell>
          <cell r="W144">
            <v>0</v>
          </cell>
          <cell r="X144">
            <v>0</v>
          </cell>
          <cell r="Y144">
            <v>0</v>
          </cell>
          <cell r="Z144">
            <v>0</v>
          </cell>
          <cell r="AA144">
            <v>0</v>
          </cell>
          <cell r="AB144">
            <v>0</v>
          </cell>
          <cell r="AC144">
            <v>1</v>
          </cell>
          <cell r="AD144">
            <v>0</v>
          </cell>
          <cell r="AE144">
            <v>0</v>
          </cell>
          <cell r="AF144">
            <v>0</v>
          </cell>
          <cell r="AG144">
            <v>1</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t="str">
            <v>Fulltime</v>
          </cell>
        </row>
        <row r="145">
          <cell r="A145">
            <v>144</v>
          </cell>
          <cell r="C145" t="str">
            <v>Foundit</v>
          </cell>
          <cell r="D145" t="str">
            <v>Data Engineer</v>
          </cell>
          <cell r="F145" t="str">
            <v>Hyderabad</v>
          </cell>
          <cell r="G145">
            <v>8</v>
          </cell>
          <cell r="H145">
            <v>11</v>
          </cell>
          <cell r="I145" t="str">
            <v>ND</v>
          </cell>
          <cell r="M145" t="str">
            <v>On-site</v>
          </cell>
          <cell r="O145">
            <v>1</v>
          </cell>
          <cell r="P145">
            <v>1</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1</v>
          </cell>
          <cell r="AE145">
            <v>0</v>
          </cell>
          <cell r="AF145">
            <v>0</v>
          </cell>
          <cell r="AG145">
            <v>1</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t="str">
            <v>Fulltime</v>
          </cell>
        </row>
        <row r="146">
          <cell r="A146">
            <v>145</v>
          </cell>
          <cell r="C146" t="str">
            <v>Foundit</v>
          </cell>
          <cell r="D146" t="str">
            <v>Business Analyst</v>
          </cell>
          <cell r="F146" t="str">
            <v>Bengaluru</v>
          </cell>
          <cell r="G146">
            <v>7</v>
          </cell>
          <cell r="H146">
            <v>12</v>
          </cell>
          <cell r="I146" t="str">
            <v>ND</v>
          </cell>
          <cell r="M146" t="str">
            <v>On-site</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1</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t="str">
            <v>Fulltime</v>
          </cell>
        </row>
        <row r="147">
          <cell r="A147">
            <v>146</v>
          </cell>
          <cell r="C147" t="str">
            <v>Foundit</v>
          </cell>
          <cell r="D147" t="str">
            <v>Data Engineer</v>
          </cell>
          <cell r="F147" t="str">
            <v>Bengaluru</v>
          </cell>
          <cell r="G147">
            <v>5</v>
          </cell>
          <cell r="H147">
            <v>7</v>
          </cell>
          <cell r="I147" t="str">
            <v>ND</v>
          </cell>
          <cell r="M147" t="str">
            <v>On-site</v>
          </cell>
          <cell r="O147">
            <v>1</v>
          </cell>
          <cell r="P147">
            <v>1</v>
          </cell>
          <cell r="Q147">
            <v>1</v>
          </cell>
          <cell r="R147">
            <v>1</v>
          </cell>
          <cell r="S147">
            <v>0</v>
          </cell>
          <cell r="T147">
            <v>0</v>
          </cell>
          <cell r="U147">
            <v>1</v>
          </cell>
          <cell r="V147">
            <v>0</v>
          </cell>
          <cell r="W147">
            <v>0</v>
          </cell>
          <cell r="X147">
            <v>0</v>
          </cell>
          <cell r="Y147">
            <v>0</v>
          </cell>
          <cell r="Z147">
            <v>0</v>
          </cell>
          <cell r="AA147">
            <v>0</v>
          </cell>
          <cell r="AB147">
            <v>0</v>
          </cell>
          <cell r="AC147">
            <v>1</v>
          </cell>
          <cell r="AD147">
            <v>0</v>
          </cell>
          <cell r="AE147">
            <v>0</v>
          </cell>
          <cell r="AF147">
            <v>0</v>
          </cell>
          <cell r="AG147">
            <v>0</v>
          </cell>
          <cell r="AH147">
            <v>0</v>
          </cell>
          <cell r="AI147">
            <v>0</v>
          </cell>
          <cell r="AJ147">
            <v>1</v>
          </cell>
          <cell r="AK147">
            <v>0</v>
          </cell>
          <cell r="AL147">
            <v>1</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t="str">
            <v>Fulltime</v>
          </cell>
        </row>
        <row r="148">
          <cell r="A148">
            <v>147</v>
          </cell>
          <cell r="C148" t="str">
            <v>Foundit</v>
          </cell>
          <cell r="D148" t="str">
            <v>Business Analyst</v>
          </cell>
          <cell r="F148" t="str">
            <v>Gurgaon</v>
          </cell>
          <cell r="G148">
            <v>10</v>
          </cell>
          <cell r="H148">
            <v>12</v>
          </cell>
          <cell r="I148" t="str">
            <v>ND</v>
          </cell>
          <cell r="M148" t="str">
            <v>On-site</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1</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t="str">
            <v>Fulltime</v>
          </cell>
        </row>
        <row r="149">
          <cell r="A149">
            <v>148</v>
          </cell>
          <cell r="C149" t="str">
            <v>Foundit</v>
          </cell>
          <cell r="D149" t="str">
            <v>Data Engineer</v>
          </cell>
          <cell r="F149" t="str">
            <v>Chennai</v>
          </cell>
          <cell r="G149">
            <v>2</v>
          </cell>
          <cell r="H149">
            <v>5</v>
          </cell>
          <cell r="I149" t="str">
            <v>ND</v>
          </cell>
          <cell r="M149" t="str">
            <v>On-site</v>
          </cell>
          <cell r="O149">
            <v>1</v>
          </cell>
          <cell r="P149">
            <v>0</v>
          </cell>
          <cell r="Q149">
            <v>0</v>
          </cell>
          <cell r="R149">
            <v>0</v>
          </cell>
          <cell r="S149">
            <v>0</v>
          </cell>
          <cell r="T149">
            <v>0</v>
          </cell>
          <cell r="U149">
            <v>0</v>
          </cell>
          <cell r="V149">
            <v>0</v>
          </cell>
          <cell r="W149">
            <v>1</v>
          </cell>
          <cell r="X149">
            <v>0</v>
          </cell>
          <cell r="Y149">
            <v>0</v>
          </cell>
          <cell r="Z149">
            <v>0</v>
          </cell>
          <cell r="AA149">
            <v>1</v>
          </cell>
          <cell r="AB149">
            <v>1</v>
          </cell>
          <cell r="AC149">
            <v>1</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t="str">
            <v>Fulltime</v>
          </cell>
        </row>
        <row r="150">
          <cell r="A150">
            <v>149</v>
          </cell>
          <cell r="C150" t="str">
            <v>Foundit</v>
          </cell>
          <cell r="D150" t="str">
            <v>Data Engineer</v>
          </cell>
          <cell r="F150" t="str">
            <v>Hyderabad</v>
          </cell>
          <cell r="G150">
            <v>4</v>
          </cell>
          <cell r="H150">
            <v>6</v>
          </cell>
          <cell r="I150" t="str">
            <v>ND</v>
          </cell>
          <cell r="M150" t="str">
            <v>On-site</v>
          </cell>
          <cell r="O150">
            <v>1</v>
          </cell>
          <cell r="P150">
            <v>1</v>
          </cell>
          <cell r="Q150">
            <v>0</v>
          </cell>
          <cell r="R150">
            <v>0</v>
          </cell>
          <cell r="S150">
            <v>0</v>
          </cell>
          <cell r="T150">
            <v>0</v>
          </cell>
          <cell r="U150">
            <v>0</v>
          </cell>
          <cell r="V150">
            <v>0</v>
          </cell>
          <cell r="W150">
            <v>0</v>
          </cell>
          <cell r="X150">
            <v>0</v>
          </cell>
          <cell r="Y150">
            <v>0</v>
          </cell>
          <cell r="Z150">
            <v>0</v>
          </cell>
          <cell r="AA150">
            <v>0</v>
          </cell>
          <cell r="AB150">
            <v>0</v>
          </cell>
          <cell r="AC150">
            <v>1</v>
          </cell>
          <cell r="AD150">
            <v>1</v>
          </cell>
          <cell r="AE150">
            <v>0</v>
          </cell>
          <cell r="AF150">
            <v>0</v>
          </cell>
          <cell r="AG150">
            <v>0</v>
          </cell>
          <cell r="AH150">
            <v>0</v>
          </cell>
          <cell r="AI150">
            <v>1</v>
          </cell>
          <cell r="AJ150">
            <v>0</v>
          </cell>
          <cell r="AK150">
            <v>0</v>
          </cell>
          <cell r="AL150">
            <v>0</v>
          </cell>
          <cell r="AM150">
            <v>0</v>
          </cell>
          <cell r="AN150">
            <v>0</v>
          </cell>
          <cell r="AO150">
            <v>0</v>
          </cell>
          <cell r="AP150">
            <v>0</v>
          </cell>
          <cell r="AQ150">
            <v>0</v>
          </cell>
          <cell r="AR150">
            <v>1</v>
          </cell>
          <cell r="AS150">
            <v>0</v>
          </cell>
          <cell r="AT150">
            <v>0</v>
          </cell>
          <cell r="AU150">
            <v>0</v>
          </cell>
          <cell r="AV150">
            <v>0</v>
          </cell>
          <cell r="AW150">
            <v>0</v>
          </cell>
          <cell r="AX150">
            <v>0</v>
          </cell>
          <cell r="AY150">
            <v>0</v>
          </cell>
          <cell r="AZ150" t="str">
            <v>Fulltime</v>
          </cell>
        </row>
        <row r="151">
          <cell r="A151">
            <v>150</v>
          </cell>
          <cell r="C151" t="str">
            <v>Foundit</v>
          </cell>
          <cell r="D151" t="str">
            <v>Data Analyst</v>
          </cell>
          <cell r="F151" t="str">
            <v>Gurgaon</v>
          </cell>
          <cell r="G151">
            <v>8</v>
          </cell>
          <cell r="H151">
            <v>10</v>
          </cell>
          <cell r="I151" t="str">
            <v>ND</v>
          </cell>
          <cell r="M151" t="str">
            <v>On-site</v>
          </cell>
          <cell r="O151">
            <v>1</v>
          </cell>
          <cell r="P151">
            <v>1</v>
          </cell>
          <cell r="Q151">
            <v>0</v>
          </cell>
          <cell r="R151">
            <v>1</v>
          </cell>
          <cell r="S151">
            <v>1</v>
          </cell>
          <cell r="T151">
            <v>0</v>
          </cell>
          <cell r="U151">
            <v>0</v>
          </cell>
          <cell r="V151">
            <v>0</v>
          </cell>
          <cell r="W151">
            <v>0</v>
          </cell>
          <cell r="X151">
            <v>0</v>
          </cell>
          <cell r="Y151">
            <v>0</v>
          </cell>
          <cell r="Z151">
            <v>0</v>
          </cell>
          <cell r="AA151">
            <v>1</v>
          </cell>
          <cell r="AB151">
            <v>0</v>
          </cell>
          <cell r="AC151">
            <v>1</v>
          </cell>
          <cell r="AD151">
            <v>0</v>
          </cell>
          <cell r="AE151">
            <v>0</v>
          </cell>
          <cell r="AF151">
            <v>1</v>
          </cell>
          <cell r="AG151">
            <v>0</v>
          </cell>
          <cell r="AH151">
            <v>0</v>
          </cell>
          <cell r="AI151">
            <v>0</v>
          </cell>
          <cell r="AJ151">
            <v>0</v>
          </cell>
          <cell r="AK151">
            <v>0</v>
          </cell>
          <cell r="AL151">
            <v>0</v>
          </cell>
          <cell r="AM151">
            <v>0</v>
          </cell>
          <cell r="AN151">
            <v>0</v>
          </cell>
          <cell r="AO151">
            <v>0</v>
          </cell>
          <cell r="AP151">
            <v>0</v>
          </cell>
          <cell r="AQ151">
            <v>1</v>
          </cell>
          <cell r="AR151">
            <v>0</v>
          </cell>
          <cell r="AS151">
            <v>0</v>
          </cell>
          <cell r="AT151">
            <v>0</v>
          </cell>
          <cell r="AU151">
            <v>0</v>
          </cell>
          <cell r="AV151">
            <v>0</v>
          </cell>
          <cell r="AW151">
            <v>0</v>
          </cell>
          <cell r="AX151">
            <v>0</v>
          </cell>
          <cell r="AY151">
            <v>0</v>
          </cell>
          <cell r="AZ151" t="str">
            <v>Fulltime</v>
          </cell>
        </row>
        <row r="152">
          <cell r="A152">
            <v>151</v>
          </cell>
          <cell r="C152" t="str">
            <v>Foundit</v>
          </cell>
          <cell r="D152" t="str">
            <v>Business Analyst</v>
          </cell>
          <cell r="F152" t="str">
            <v>Chennai</v>
          </cell>
          <cell r="G152">
            <v>9</v>
          </cell>
          <cell r="H152">
            <v>12</v>
          </cell>
          <cell r="I152" t="str">
            <v>ND</v>
          </cell>
          <cell r="M152" t="str">
            <v>On-site</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1</v>
          </cell>
          <cell r="AU152">
            <v>0</v>
          </cell>
          <cell r="AV152">
            <v>0</v>
          </cell>
          <cell r="AW152">
            <v>0</v>
          </cell>
          <cell r="AX152">
            <v>0</v>
          </cell>
          <cell r="AY152">
            <v>0</v>
          </cell>
          <cell r="AZ152" t="str">
            <v>Fulltime</v>
          </cell>
        </row>
        <row r="153">
          <cell r="A153">
            <v>152</v>
          </cell>
          <cell r="C153" t="str">
            <v>Foundit</v>
          </cell>
          <cell r="D153" t="str">
            <v>Business Analyst</v>
          </cell>
          <cell r="F153" t="str">
            <v>Bengaluru</v>
          </cell>
          <cell r="G153">
            <v>4</v>
          </cell>
          <cell r="H153">
            <v>6</v>
          </cell>
          <cell r="I153" t="str">
            <v>ND</v>
          </cell>
          <cell r="M153" t="str">
            <v>On-site</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1</v>
          </cell>
          <cell r="AS153">
            <v>0</v>
          </cell>
          <cell r="AT153">
            <v>0</v>
          </cell>
          <cell r="AU153">
            <v>0</v>
          </cell>
          <cell r="AV153">
            <v>0</v>
          </cell>
          <cell r="AW153">
            <v>0</v>
          </cell>
          <cell r="AX153">
            <v>0</v>
          </cell>
          <cell r="AY153">
            <v>0</v>
          </cell>
          <cell r="AZ153" t="str">
            <v>Fulltime</v>
          </cell>
        </row>
        <row r="154">
          <cell r="A154">
            <v>153</v>
          </cell>
          <cell r="C154" t="str">
            <v>Foundit</v>
          </cell>
          <cell r="D154" t="str">
            <v>Data Engineer</v>
          </cell>
          <cell r="F154" t="str">
            <v>Bengaluru</v>
          </cell>
          <cell r="G154">
            <v>5</v>
          </cell>
          <cell r="H154">
            <v>7</v>
          </cell>
          <cell r="I154" t="str">
            <v>ND</v>
          </cell>
          <cell r="M154" t="str">
            <v>On-site</v>
          </cell>
          <cell r="O154">
            <v>1</v>
          </cell>
          <cell r="P154">
            <v>1</v>
          </cell>
          <cell r="Q154">
            <v>0</v>
          </cell>
          <cell r="R154">
            <v>0</v>
          </cell>
          <cell r="S154">
            <v>0</v>
          </cell>
          <cell r="T154">
            <v>0</v>
          </cell>
          <cell r="U154">
            <v>0</v>
          </cell>
          <cell r="V154">
            <v>0</v>
          </cell>
          <cell r="W154">
            <v>0</v>
          </cell>
          <cell r="X154">
            <v>0</v>
          </cell>
          <cell r="Y154">
            <v>0</v>
          </cell>
          <cell r="Z154">
            <v>0</v>
          </cell>
          <cell r="AA154">
            <v>1</v>
          </cell>
          <cell r="AB154">
            <v>0</v>
          </cell>
          <cell r="AC154">
            <v>1</v>
          </cell>
          <cell r="AD154">
            <v>1</v>
          </cell>
          <cell r="AE154">
            <v>1</v>
          </cell>
          <cell r="AF154">
            <v>0</v>
          </cell>
          <cell r="AG154">
            <v>0</v>
          </cell>
          <cell r="AH154">
            <v>0</v>
          </cell>
          <cell r="AI154">
            <v>0</v>
          </cell>
          <cell r="AJ154">
            <v>0</v>
          </cell>
          <cell r="AK154">
            <v>0</v>
          </cell>
          <cell r="AL154">
            <v>0</v>
          </cell>
          <cell r="AM154">
            <v>0</v>
          </cell>
          <cell r="AN154">
            <v>0</v>
          </cell>
          <cell r="AO154">
            <v>0</v>
          </cell>
          <cell r="AP154">
            <v>0</v>
          </cell>
          <cell r="AQ154">
            <v>1</v>
          </cell>
          <cell r="AR154">
            <v>0</v>
          </cell>
          <cell r="AS154">
            <v>0</v>
          </cell>
          <cell r="AT154">
            <v>0</v>
          </cell>
          <cell r="AU154">
            <v>0</v>
          </cell>
          <cell r="AV154">
            <v>0</v>
          </cell>
          <cell r="AW154">
            <v>0</v>
          </cell>
          <cell r="AX154">
            <v>0</v>
          </cell>
          <cell r="AY154">
            <v>0</v>
          </cell>
          <cell r="AZ154" t="str">
            <v>Fulltime</v>
          </cell>
        </row>
        <row r="155">
          <cell r="A155">
            <v>154</v>
          </cell>
          <cell r="C155" t="str">
            <v>Foundit</v>
          </cell>
          <cell r="D155" t="str">
            <v>Business Analyst</v>
          </cell>
          <cell r="F155" t="str">
            <v>Pune</v>
          </cell>
          <cell r="G155">
            <v>0</v>
          </cell>
          <cell r="H155">
            <v>2</v>
          </cell>
          <cell r="I155" t="str">
            <v>ND</v>
          </cell>
          <cell r="M155" t="str">
            <v>On-site</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1</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t="str">
            <v>Fulltime</v>
          </cell>
        </row>
        <row r="156">
          <cell r="A156">
            <v>155</v>
          </cell>
          <cell r="C156" t="str">
            <v>Foundit</v>
          </cell>
          <cell r="D156" t="str">
            <v>Business Analyst</v>
          </cell>
          <cell r="F156" t="str">
            <v>Chennai</v>
          </cell>
          <cell r="G156">
            <v>0</v>
          </cell>
          <cell r="H156">
            <v>2</v>
          </cell>
          <cell r="I156" t="str">
            <v>ND</v>
          </cell>
          <cell r="M156" t="str">
            <v>On-site</v>
          </cell>
          <cell r="O156">
            <v>1</v>
          </cell>
          <cell r="P156">
            <v>0</v>
          </cell>
          <cell r="Q156">
            <v>1</v>
          </cell>
          <cell r="R156">
            <v>0</v>
          </cell>
          <cell r="S156">
            <v>0</v>
          </cell>
          <cell r="T156">
            <v>0</v>
          </cell>
          <cell r="U156">
            <v>0</v>
          </cell>
          <cell r="V156">
            <v>0</v>
          </cell>
          <cell r="W156">
            <v>0</v>
          </cell>
          <cell r="X156">
            <v>0</v>
          </cell>
          <cell r="Y156">
            <v>0</v>
          </cell>
          <cell r="Z156">
            <v>0</v>
          </cell>
          <cell r="AA156">
            <v>0</v>
          </cell>
          <cell r="AB156">
            <v>0</v>
          </cell>
          <cell r="AC156">
            <v>0</v>
          </cell>
          <cell r="AD156">
            <v>1</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t="str">
            <v>Fulltime</v>
          </cell>
        </row>
        <row r="157">
          <cell r="A157">
            <v>156</v>
          </cell>
          <cell r="C157" t="str">
            <v>Foundit</v>
          </cell>
          <cell r="D157" t="str">
            <v>Data Engineer</v>
          </cell>
          <cell r="F157" t="str">
            <v>Bengaluru</v>
          </cell>
          <cell r="G157">
            <v>0</v>
          </cell>
          <cell r="H157">
            <v>2</v>
          </cell>
          <cell r="I157" t="str">
            <v>ND</v>
          </cell>
          <cell r="M157" t="str">
            <v>On-site</v>
          </cell>
          <cell r="O157">
            <v>1</v>
          </cell>
          <cell r="P157">
            <v>0</v>
          </cell>
          <cell r="Q157">
            <v>1</v>
          </cell>
          <cell r="R157">
            <v>0</v>
          </cell>
          <cell r="S157">
            <v>0</v>
          </cell>
          <cell r="T157">
            <v>0</v>
          </cell>
          <cell r="U157">
            <v>0</v>
          </cell>
          <cell r="V157">
            <v>0</v>
          </cell>
          <cell r="W157">
            <v>0</v>
          </cell>
          <cell r="X157">
            <v>0</v>
          </cell>
          <cell r="Y157">
            <v>0</v>
          </cell>
          <cell r="Z157">
            <v>0</v>
          </cell>
          <cell r="AA157">
            <v>1</v>
          </cell>
          <cell r="AB157">
            <v>0</v>
          </cell>
          <cell r="AC157">
            <v>0</v>
          </cell>
          <cell r="AD157">
            <v>1</v>
          </cell>
          <cell r="AE157">
            <v>0</v>
          </cell>
          <cell r="AF157">
            <v>0</v>
          </cell>
          <cell r="AG157">
            <v>0</v>
          </cell>
          <cell r="AH157">
            <v>0</v>
          </cell>
          <cell r="AI157">
            <v>0</v>
          </cell>
          <cell r="AJ157">
            <v>0</v>
          </cell>
          <cell r="AK157">
            <v>0</v>
          </cell>
          <cell r="AL157">
            <v>1</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t="str">
            <v>Fulltime</v>
          </cell>
        </row>
        <row r="158">
          <cell r="A158">
            <v>157</v>
          </cell>
          <cell r="C158" t="str">
            <v>Foundit</v>
          </cell>
          <cell r="D158" t="str">
            <v>Data Engineer</v>
          </cell>
          <cell r="F158" t="str">
            <v>Pune</v>
          </cell>
          <cell r="G158">
            <v>0</v>
          </cell>
          <cell r="H158">
            <v>2</v>
          </cell>
          <cell r="I158" t="str">
            <v>ND</v>
          </cell>
          <cell r="M158" t="str">
            <v>On-site</v>
          </cell>
          <cell r="O158">
            <v>1</v>
          </cell>
          <cell r="P158">
            <v>0</v>
          </cell>
          <cell r="Q158">
            <v>0</v>
          </cell>
          <cell r="R158">
            <v>0</v>
          </cell>
          <cell r="S158">
            <v>0</v>
          </cell>
          <cell r="T158">
            <v>0</v>
          </cell>
          <cell r="U158">
            <v>0</v>
          </cell>
          <cell r="V158">
            <v>0</v>
          </cell>
          <cell r="W158">
            <v>0</v>
          </cell>
          <cell r="X158">
            <v>0</v>
          </cell>
          <cell r="Y158">
            <v>0</v>
          </cell>
          <cell r="Z158">
            <v>0</v>
          </cell>
          <cell r="AA158">
            <v>1</v>
          </cell>
          <cell r="AB158">
            <v>0</v>
          </cell>
          <cell r="AC158">
            <v>0</v>
          </cell>
          <cell r="AD158">
            <v>1</v>
          </cell>
          <cell r="AE158">
            <v>1</v>
          </cell>
          <cell r="AF158">
            <v>0</v>
          </cell>
          <cell r="AG158">
            <v>0</v>
          </cell>
          <cell r="AH158">
            <v>0</v>
          </cell>
          <cell r="AI158">
            <v>0</v>
          </cell>
          <cell r="AJ158">
            <v>0</v>
          </cell>
          <cell r="AK158">
            <v>0</v>
          </cell>
          <cell r="AL158">
            <v>0</v>
          </cell>
          <cell r="AM158">
            <v>0</v>
          </cell>
          <cell r="AN158">
            <v>0</v>
          </cell>
          <cell r="AO158">
            <v>0</v>
          </cell>
          <cell r="AP158">
            <v>1</v>
          </cell>
          <cell r="AQ158">
            <v>0</v>
          </cell>
          <cell r="AR158">
            <v>0</v>
          </cell>
          <cell r="AS158">
            <v>0</v>
          </cell>
          <cell r="AT158">
            <v>0</v>
          </cell>
          <cell r="AU158">
            <v>0</v>
          </cell>
          <cell r="AV158">
            <v>0</v>
          </cell>
          <cell r="AW158">
            <v>0</v>
          </cell>
          <cell r="AX158">
            <v>0</v>
          </cell>
          <cell r="AY158">
            <v>0</v>
          </cell>
          <cell r="AZ158" t="str">
            <v>Fulltime</v>
          </cell>
        </row>
        <row r="159">
          <cell r="A159">
            <v>158</v>
          </cell>
          <cell r="C159" t="str">
            <v>Foundit</v>
          </cell>
          <cell r="D159" t="str">
            <v>Business Analyst</v>
          </cell>
          <cell r="F159" t="str">
            <v>Pune</v>
          </cell>
          <cell r="G159">
            <v>0</v>
          </cell>
          <cell r="H159">
            <v>2</v>
          </cell>
          <cell r="I159" t="str">
            <v>ND</v>
          </cell>
          <cell r="M159" t="str">
            <v>On-site</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1</v>
          </cell>
          <cell r="AI159">
            <v>1</v>
          </cell>
          <cell r="AJ159">
            <v>0</v>
          </cell>
          <cell r="AK159">
            <v>0</v>
          </cell>
          <cell r="AL159">
            <v>0</v>
          </cell>
          <cell r="AM159">
            <v>0</v>
          </cell>
          <cell r="AN159">
            <v>0</v>
          </cell>
          <cell r="AO159">
            <v>0</v>
          </cell>
          <cell r="AP159">
            <v>0</v>
          </cell>
          <cell r="AQ159">
            <v>0</v>
          </cell>
          <cell r="AR159">
            <v>0</v>
          </cell>
          <cell r="AS159">
            <v>0</v>
          </cell>
          <cell r="AT159">
            <v>1</v>
          </cell>
          <cell r="AU159">
            <v>0</v>
          </cell>
          <cell r="AV159">
            <v>0</v>
          </cell>
          <cell r="AW159">
            <v>0</v>
          </cell>
          <cell r="AX159">
            <v>0</v>
          </cell>
          <cell r="AY159">
            <v>0</v>
          </cell>
          <cell r="AZ159" t="str">
            <v>Fulltime</v>
          </cell>
        </row>
        <row r="160">
          <cell r="A160">
            <v>159</v>
          </cell>
          <cell r="C160" t="str">
            <v>Foundit</v>
          </cell>
          <cell r="D160" t="str">
            <v>Data Engineer</v>
          </cell>
          <cell r="F160" t="str">
            <v>Delhi</v>
          </cell>
          <cell r="G160">
            <v>0</v>
          </cell>
          <cell r="H160">
            <v>2</v>
          </cell>
          <cell r="I160" t="str">
            <v>ND</v>
          </cell>
          <cell r="M160" t="str">
            <v>On-site</v>
          </cell>
          <cell r="O160">
            <v>1</v>
          </cell>
          <cell r="P160">
            <v>0</v>
          </cell>
          <cell r="Q160">
            <v>0</v>
          </cell>
          <cell r="R160">
            <v>0</v>
          </cell>
          <cell r="S160">
            <v>0</v>
          </cell>
          <cell r="T160">
            <v>0</v>
          </cell>
          <cell r="U160">
            <v>1</v>
          </cell>
          <cell r="V160">
            <v>0</v>
          </cell>
          <cell r="W160">
            <v>1</v>
          </cell>
          <cell r="X160">
            <v>0</v>
          </cell>
          <cell r="Y160">
            <v>0</v>
          </cell>
          <cell r="Z160">
            <v>0</v>
          </cell>
          <cell r="AA160">
            <v>1</v>
          </cell>
          <cell r="AB160">
            <v>1</v>
          </cell>
          <cell r="AC160">
            <v>1</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t="str">
            <v>Fulltime</v>
          </cell>
        </row>
        <row r="161">
          <cell r="A161">
            <v>160</v>
          </cell>
          <cell r="C161" t="str">
            <v>Foundit</v>
          </cell>
          <cell r="D161" t="str">
            <v>Data Engineer</v>
          </cell>
          <cell r="F161" t="str">
            <v>Bengaluru</v>
          </cell>
          <cell r="G161">
            <v>0</v>
          </cell>
          <cell r="H161">
            <v>2</v>
          </cell>
          <cell r="I161" t="str">
            <v>ND</v>
          </cell>
          <cell r="M161" t="str">
            <v>On-site</v>
          </cell>
          <cell r="O161">
            <v>0</v>
          </cell>
          <cell r="P161">
            <v>0</v>
          </cell>
          <cell r="Q161">
            <v>0</v>
          </cell>
          <cell r="R161">
            <v>0</v>
          </cell>
          <cell r="S161">
            <v>0</v>
          </cell>
          <cell r="T161">
            <v>0</v>
          </cell>
          <cell r="U161">
            <v>0</v>
          </cell>
          <cell r="V161">
            <v>0</v>
          </cell>
          <cell r="W161">
            <v>0</v>
          </cell>
          <cell r="X161">
            <v>0</v>
          </cell>
          <cell r="Y161">
            <v>0</v>
          </cell>
          <cell r="Z161">
            <v>0</v>
          </cell>
          <cell r="AA161">
            <v>1</v>
          </cell>
          <cell r="AB161">
            <v>0</v>
          </cell>
          <cell r="AC161">
            <v>1</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t="str">
            <v>Fulltime</v>
          </cell>
        </row>
        <row r="162">
          <cell r="A162">
            <v>161</v>
          </cell>
          <cell r="C162" t="str">
            <v>Foundit</v>
          </cell>
          <cell r="D162" t="str">
            <v>Data Engineer</v>
          </cell>
          <cell r="F162" t="str">
            <v>Gurgaon</v>
          </cell>
          <cell r="G162">
            <v>0</v>
          </cell>
          <cell r="H162">
            <v>2</v>
          </cell>
          <cell r="I162" t="str">
            <v>ND</v>
          </cell>
          <cell r="M162" t="str">
            <v>On-site</v>
          </cell>
          <cell r="O162">
            <v>1</v>
          </cell>
          <cell r="P162">
            <v>0</v>
          </cell>
          <cell r="Q162">
            <v>0</v>
          </cell>
          <cell r="R162">
            <v>0</v>
          </cell>
          <cell r="S162">
            <v>0</v>
          </cell>
          <cell r="T162">
            <v>0</v>
          </cell>
          <cell r="U162">
            <v>0</v>
          </cell>
          <cell r="V162">
            <v>0</v>
          </cell>
          <cell r="W162">
            <v>1</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1</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t="str">
            <v>Fulltime</v>
          </cell>
        </row>
        <row r="163">
          <cell r="A163">
            <v>162</v>
          </cell>
          <cell r="C163" t="str">
            <v>Foundit</v>
          </cell>
          <cell r="D163" t="str">
            <v>Data Engineer</v>
          </cell>
          <cell r="F163" t="str">
            <v>Hyderabad</v>
          </cell>
          <cell r="G163">
            <v>0</v>
          </cell>
          <cell r="H163">
            <v>2</v>
          </cell>
          <cell r="I163" t="str">
            <v>ND</v>
          </cell>
          <cell r="M163" t="str">
            <v>On-site</v>
          </cell>
          <cell r="O163">
            <v>0</v>
          </cell>
          <cell r="P163">
            <v>1</v>
          </cell>
          <cell r="Q163">
            <v>0</v>
          </cell>
          <cell r="R163">
            <v>0</v>
          </cell>
          <cell r="S163">
            <v>0</v>
          </cell>
          <cell r="T163">
            <v>0</v>
          </cell>
          <cell r="U163">
            <v>1</v>
          </cell>
          <cell r="V163">
            <v>0</v>
          </cell>
          <cell r="W163">
            <v>0</v>
          </cell>
          <cell r="X163">
            <v>0</v>
          </cell>
          <cell r="Y163">
            <v>0</v>
          </cell>
          <cell r="Z163">
            <v>0</v>
          </cell>
          <cell r="AA163">
            <v>0</v>
          </cell>
          <cell r="AB163">
            <v>0</v>
          </cell>
          <cell r="AC163">
            <v>1</v>
          </cell>
          <cell r="AD163">
            <v>0</v>
          </cell>
          <cell r="AE163">
            <v>0</v>
          </cell>
          <cell r="AF163">
            <v>0</v>
          </cell>
          <cell r="AG163">
            <v>1</v>
          </cell>
          <cell r="AH163">
            <v>0</v>
          </cell>
          <cell r="AI163">
            <v>0</v>
          </cell>
          <cell r="AJ163">
            <v>1</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t="str">
            <v>Fulltime</v>
          </cell>
        </row>
        <row r="164">
          <cell r="A164">
            <v>163</v>
          </cell>
          <cell r="C164" t="str">
            <v>Foundit</v>
          </cell>
          <cell r="D164" t="str">
            <v>Data Engineer</v>
          </cell>
          <cell r="F164" t="str">
            <v>Mumbai</v>
          </cell>
          <cell r="G164">
            <v>0</v>
          </cell>
          <cell r="H164">
            <v>2</v>
          </cell>
          <cell r="I164" t="str">
            <v>ND</v>
          </cell>
          <cell r="M164" t="str">
            <v>On-site</v>
          </cell>
          <cell r="O164">
            <v>1</v>
          </cell>
          <cell r="P164">
            <v>0</v>
          </cell>
          <cell r="Q164">
            <v>1</v>
          </cell>
          <cell r="R164">
            <v>0</v>
          </cell>
          <cell r="S164">
            <v>0</v>
          </cell>
          <cell r="T164">
            <v>0</v>
          </cell>
          <cell r="U164">
            <v>1</v>
          </cell>
          <cell r="V164">
            <v>0</v>
          </cell>
          <cell r="W164">
            <v>0</v>
          </cell>
          <cell r="X164">
            <v>0</v>
          </cell>
          <cell r="Y164">
            <v>0</v>
          </cell>
          <cell r="Z164">
            <v>0</v>
          </cell>
          <cell r="AA164">
            <v>0</v>
          </cell>
          <cell r="AB164">
            <v>0</v>
          </cell>
          <cell r="AC164">
            <v>0</v>
          </cell>
          <cell r="AD164">
            <v>0</v>
          </cell>
          <cell r="AE164">
            <v>1</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t="str">
            <v>Fulltime</v>
          </cell>
        </row>
        <row r="165">
          <cell r="A165">
            <v>164</v>
          </cell>
          <cell r="C165" t="str">
            <v>Foundit</v>
          </cell>
          <cell r="D165" t="str">
            <v>Business Analyst</v>
          </cell>
          <cell r="F165" t="str">
            <v>Pune</v>
          </cell>
          <cell r="G165">
            <v>0</v>
          </cell>
          <cell r="H165">
            <v>2</v>
          </cell>
          <cell r="I165" t="str">
            <v>ND</v>
          </cell>
          <cell r="M165" t="str">
            <v>On-site</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t="str">
            <v>Fulltime</v>
          </cell>
        </row>
        <row r="166">
          <cell r="A166">
            <v>165</v>
          </cell>
          <cell r="C166" t="str">
            <v>Foundit</v>
          </cell>
          <cell r="D166" t="str">
            <v>Data Engineer</v>
          </cell>
          <cell r="F166" t="str">
            <v>Noida</v>
          </cell>
          <cell r="G166">
            <v>0</v>
          </cell>
          <cell r="H166">
            <v>2</v>
          </cell>
          <cell r="I166" t="str">
            <v>ND</v>
          </cell>
          <cell r="M166" t="str">
            <v>On-site</v>
          </cell>
          <cell r="O166">
            <v>1</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1</v>
          </cell>
          <cell r="AD166">
            <v>0</v>
          </cell>
          <cell r="AE166">
            <v>0</v>
          </cell>
          <cell r="AF166">
            <v>0</v>
          </cell>
          <cell r="AG166">
            <v>1</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t="str">
            <v>Fulltime</v>
          </cell>
        </row>
        <row r="167">
          <cell r="A167">
            <v>166</v>
          </cell>
          <cell r="C167" t="str">
            <v>Foundit</v>
          </cell>
          <cell r="D167" t="str">
            <v>BI Developer</v>
          </cell>
          <cell r="F167" t="str">
            <v>Mumbai</v>
          </cell>
          <cell r="G167">
            <v>3</v>
          </cell>
          <cell r="H167">
            <v>6</v>
          </cell>
          <cell r="I167" t="str">
            <v>ND</v>
          </cell>
          <cell r="M167" t="str">
            <v>On-site</v>
          </cell>
          <cell r="O167">
            <v>1</v>
          </cell>
          <cell r="P167">
            <v>1</v>
          </cell>
          <cell r="Q167">
            <v>0</v>
          </cell>
          <cell r="R167">
            <v>0</v>
          </cell>
          <cell r="S167">
            <v>0</v>
          </cell>
          <cell r="T167">
            <v>0</v>
          </cell>
          <cell r="U167">
            <v>0</v>
          </cell>
          <cell r="V167">
            <v>1</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t="str">
            <v>Fulltime</v>
          </cell>
        </row>
        <row r="168">
          <cell r="A168">
            <v>167</v>
          </cell>
          <cell r="C168" t="str">
            <v>Foundit</v>
          </cell>
          <cell r="D168" t="str">
            <v>Business Analyst</v>
          </cell>
          <cell r="F168" t="str">
            <v>Hyderabad</v>
          </cell>
          <cell r="G168">
            <v>7</v>
          </cell>
          <cell r="H168">
            <v>9</v>
          </cell>
          <cell r="I168" t="str">
            <v>ND</v>
          </cell>
          <cell r="M168" t="str">
            <v>On-site</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t="str">
            <v>Fulltime</v>
          </cell>
        </row>
        <row r="169">
          <cell r="A169">
            <v>168</v>
          </cell>
          <cell r="C169" t="str">
            <v>Foundit</v>
          </cell>
          <cell r="D169" t="str">
            <v>Business Analyst</v>
          </cell>
          <cell r="F169" t="str">
            <v>Chennai</v>
          </cell>
          <cell r="G169">
            <v>2</v>
          </cell>
          <cell r="H169">
            <v>4</v>
          </cell>
          <cell r="I169" t="str">
            <v>ND</v>
          </cell>
          <cell r="M169" t="str">
            <v>On-site</v>
          </cell>
          <cell r="O169">
            <v>0</v>
          </cell>
          <cell r="P169">
            <v>0</v>
          </cell>
          <cell r="Q169">
            <v>1</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t="str">
            <v>Fulltime</v>
          </cell>
        </row>
        <row r="170">
          <cell r="A170">
            <v>169</v>
          </cell>
          <cell r="C170" t="str">
            <v>Foundit</v>
          </cell>
          <cell r="D170" t="str">
            <v>Data Engineer</v>
          </cell>
          <cell r="F170" t="str">
            <v>Gurgaon</v>
          </cell>
          <cell r="G170">
            <v>4</v>
          </cell>
          <cell r="H170">
            <v>6</v>
          </cell>
          <cell r="I170" t="str">
            <v>ND</v>
          </cell>
          <cell r="M170" t="str">
            <v>On-site</v>
          </cell>
          <cell r="O170">
            <v>1</v>
          </cell>
          <cell r="P170">
            <v>1</v>
          </cell>
          <cell r="Q170">
            <v>0</v>
          </cell>
          <cell r="R170">
            <v>0</v>
          </cell>
          <cell r="S170">
            <v>0</v>
          </cell>
          <cell r="T170">
            <v>0</v>
          </cell>
          <cell r="U170">
            <v>0</v>
          </cell>
          <cell r="V170">
            <v>0</v>
          </cell>
          <cell r="W170">
            <v>0</v>
          </cell>
          <cell r="X170">
            <v>0</v>
          </cell>
          <cell r="Y170">
            <v>0</v>
          </cell>
          <cell r="Z170">
            <v>0</v>
          </cell>
          <cell r="AA170">
            <v>0</v>
          </cell>
          <cell r="AB170">
            <v>0</v>
          </cell>
          <cell r="AC170">
            <v>1</v>
          </cell>
          <cell r="AD170">
            <v>1</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t="str">
            <v>Fulltime</v>
          </cell>
        </row>
        <row r="171">
          <cell r="A171">
            <v>170</v>
          </cell>
          <cell r="C171" t="str">
            <v>Foundit</v>
          </cell>
          <cell r="D171" t="str">
            <v>Data Engineer</v>
          </cell>
          <cell r="F171" t="str">
            <v>Bengaluru</v>
          </cell>
          <cell r="G171">
            <v>6</v>
          </cell>
          <cell r="H171">
            <v>10</v>
          </cell>
          <cell r="I171" t="str">
            <v>ND</v>
          </cell>
          <cell r="M171" t="str">
            <v>On-site</v>
          </cell>
          <cell r="O171">
            <v>1</v>
          </cell>
          <cell r="P171">
            <v>1</v>
          </cell>
          <cell r="Q171">
            <v>0</v>
          </cell>
          <cell r="R171">
            <v>0</v>
          </cell>
          <cell r="S171">
            <v>0</v>
          </cell>
          <cell r="T171">
            <v>0</v>
          </cell>
          <cell r="U171">
            <v>1</v>
          </cell>
          <cell r="V171">
            <v>1</v>
          </cell>
          <cell r="W171">
            <v>0</v>
          </cell>
          <cell r="X171">
            <v>0</v>
          </cell>
          <cell r="Y171">
            <v>0</v>
          </cell>
          <cell r="Z171">
            <v>0</v>
          </cell>
          <cell r="AA171">
            <v>0</v>
          </cell>
          <cell r="AB171">
            <v>0</v>
          </cell>
          <cell r="AC171">
            <v>1</v>
          </cell>
          <cell r="AD171">
            <v>1</v>
          </cell>
          <cell r="AE171">
            <v>0</v>
          </cell>
          <cell r="AF171">
            <v>0</v>
          </cell>
          <cell r="AG171">
            <v>1</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t="str">
            <v>Fulltime</v>
          </cell>
        </row>
        <row r="172">
          <cell r="A172">
            <v>171</v>
          </cell>
          <cell r="C172" t="str">
            <v>Foundit</v>
          </cell>
          <cell r="D172" t="str">
            <v>Data Analyst</v>
          </cell>
          <cell r="F172" t="str">
            <v>Bengaluru</v>
          </cell>
          <cell r="G172">
            <v>8</v>
          </cell>
          <cell r="H172">
            <v>10</v>
          </cell>
          <cell r="I172" t="str">
            <v>ND</v>
          </cell>
          <cell r="M172" t="str">
            <v>On-site</v>
          </cell>
          <cell r="O172">
            <v>0</v>
          </cell>
          <cell r="P172">
            <v>0</v>
          </cell>
          <cell r="Q172">
            <v>1</v>
          </cell>
          <cell r="R172">
            <v>0</v>
          </cell>
          <cell r="S172">
            <v>0</v>
          </cell>
          <cell r="T172">
            <v>0</v>
          </cell>
          <cell r="U172">
            <v>0</v>
          </cell>
          <cell r="V172">
            <v>0</v>
          </cell>
          <cell r="W172">
            <v>0</v>
          </cell>
          <cell r="X172">
            <v>1</v>
          </cell>
          <cell r="Y172">
            <v>0</v>
          </cell>
          <cell r="Z172">
            <v>0</v>
          </cell>
          <cell r="AA172">
            <v>0</v>
          </cell>
          <cell r="AB172">
            <v>0</v>
          </cell>
          <cell r="AC172">
            <v>1</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t="str">
            <v>Fulltime</v>
          </cell>
        </row>
        <row r="173">
          <cell r="A173">
            <v>172</v>
          </cell>
          <cell r="C173" t="str">
            <v>Foundit</v>
          </cell>
          <cell r="D173" t="str">
            <v>Data Analyst</v>
          </cell>
          <cell r="F173" t="str">
            <v>Chennai</v>
          </cell>
          <cell r="G173">
            <v>5</v>
          </cell>
          <cell r="H173">
            <v>10</v>
          </cell>
          <cell r="I173" t="str">
            <v>ND</v>
          </cell>
          <cell r="M173" t="str">
            <v>On-site</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t="str">
            <v>Fulltime</v>
          </cell>
        </row>
        <row r="174">
          <cell r="A174">
            <v>173</v>
          </cell>
          <cell r="C174" t="str">
            <v>Foundit</v>
          </cell>
          <cell r="D174" t="str">
            <v>Data Analyst</v>
          </cell>
          <cell r="F174" t="str">
            <v>Bengaluru</v>
          </cell>
          <cell r="G174">
            <v>6</v>
          </cell>
          <cell r="H174">
            <v>8</v>
          </cell>
          <cell r="I174" t="str">
            <v>ND</v>
          </cell>
          <cell r="M174" t="str">
            <v>On-site</v>
          </cell>
          <cell r="O174">
            <v>1</v>
          </cell>
          <cell r="P174">
            <v>0</v>
          </cell>
          <cell r="Q174">
            <v>1</v>
          </cell>
          <cell r="R174">
            <v>0</v>
          </cell>
          <cell r="S174">
            <v>0</v>
          </cell>
          <cell r="T174">
            <v>0</v>
          </cell>
          <cell r="U174">
            <v>0</v>
          </cell>
          <cell r="V174">
            <v>0</v>
          </cell>
          <cell r="W174">
            <v>0</v>
          </cell>
          <cell r="X174">
            <v>0</v>
          </cell>
          <cell r="Y174">
            <v>0</v>
          </cell>
          <cell r="Z174">
            <v>0</v>
          </cell>
          <cell r="AA174">
            <v>1</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t="str">
            <v>Fulltime</v>
          </cell>
        </row>
        <row r="175">
          <cell r="A175">
            <v>174</v>
          </cell>
          <cell r="C175" t="str">
            <v>Foundit</v>
          </cell>
          <cell r="D175" t="str">
            <v>Data Analyst</v>
          </cell>
          <cell r="F175" t="str">
            <v>Mumbai</v>
          </cell>
          <cell r="G175">
            <v>5</v>
          </cell>
          <cell r="H175">
            <v>8</v>
          </cell>
          <cell r="I175" t="str">
            <v>ND</v>
          </cell>
          <cell r="M175" t="str">
            <v>On-site</v>
          </cell>
          <cell r="O175">
            <v>1</v>
          </cell>
          <cell r="P175">
            <v>0</v>
          </cell>
          <cell r="Q175">
            <v>1</v>
          </cell>
          <cell r="R175">
            <v>0</v>
          </cell>
          <cell r="S175">
            <v>0</v>
          </cell>
          <cell r="T175">
            <v>0</v>
          </cell>
          <cell r="U175">
            <v>0</v>
          </cell>
          <cell r="V175">
            <v>0</v>
          </cell>
          <cell r="W175">
            <v>0</v>
          </cell>
          <cell r="X175">
            <v>0</v>
          </cell>
          <cell r="Y175">
            <v>0</v>
          </cell>
          <cell r="Z175">
            <v>0</v>
          </cell>
          <cell r="AA175">
            <v>0</v>
          </cell>
          <cell r="AB175">
            <v>0</v>
          </cell>
          <cell r="AC175">
            <v>1</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t="str">
            <v>Fulltime</v>
          </cell>
        </row>
        <row r="176">
          <cell r="A176">
            <v>175</v>
          </cell>
          <cell r="C176" t="str">
            <v>Foundit</v>
          </cell>
          <cell r="D176" t="str">
            <v>Data Analyst</v>
          </cell>
          <cell r="F176" t="str">
            <v>Gurgaon</v>
          </cell>
          <cell r="G176">
            <v>5</v>
          </cell>
          <cell r="H176">
            <v>7</v>
          </cell>
          <cell r="I176" t="str">
            <v>ND</v>
          </cell>
          <cell r="M176" t="str">
            <v>On-site</v>
          </cell>
          <cell r="O176">
            <v>1</v>
          </cell>
          <cell r="P176">
            <v>1</v>
          </cell>
          <cell r="Q176">
            <v>1</v>
          </cell>
          <cell r="R176">
            <v>1</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t="str">
            <v>Fulltime</v>
          </cell>
        </row>
        <row r="177">
          <cell r="A177">
            <v>176</v>
          </cell>
          <cell r="C177" t="str">
            <v>Foundit</v>
          </cell>
          <cell r="D177" t="str">
            <v>Data Analyst</v>
          </cell>
          <cell r="F177" t="str">
            <v>Bengaluru</v>
          </cell>
          <cell r="G177">
            <v>5</v>
          </cell>
          <cell r="H177">
            <v>8</v>
          </cell>
          <cell r="I177" t="str">
            <v>ND</v>
          </cell>
          <cell r="M177" t="str">
            <v>On-site</v>
          </cell>
          <cell r="O177">
            <v>1</v>
          </cell>
          <cell r="P177">
            <v>0</v>
          </cell>
          <cell r="Q177">
            <v>1</v>
          </cell>
          <cell r="R177">
            <v>0</v>
          </cell>
          <cell r="S177">
            <v>1</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t="str">
            <v>Fulltime</v>
          </cell>
        </row>
        <row r="178">
          <cell r="A178">
            <v>177</v>
          </cell>
          <cell r="C178" t="str">
            <v>Foundit</v>
          </cell>
          <cell r="D178" t="str">
            <v>Data Analyst</v>
          </cell>
          <cell r="F178" t="str">
            <v>Gurgaon</v>
          </cell>
          <cell r="G178">
            <v>5</v>
          </cell>
          <cell r="H178">
            <v>7</v>
          </cell>
          <cell r="I178" t="str">
            <v>ND</v>
          </cell>
          <cell r="M178" t="str">
            <v>On-site</v>
          </cell>
          <cell r="O178">
            <v>0</v>
          </cell>
          <cell r="P178">
            <v>0</v>
          </cell>
          <cell r="Q178">
            <v>0</v>
          </cell>
          <cell r="R178">
            <v>0</v>
          </cell>
          <cell r="S178">
            <v>1</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t="str">
            <v>Fulltime</v>
          </cell>
        </row>
        <row r="179">
          <cell r="A179">
            <v>178</v>
          </cell>
          <cell r="C179" t="str">
            <v>Foundit</v>
          </cell>
          <cell r="D179" t="str">
            <v>Data Analyst</v>
          </cell>
          <cell r="F179" t="str">
            <v>Bengaluru</v>
          </cell>
          <cell r="G179">
            <v>8</v>
          </cell>
          <cell r="H179">
            <v>12</v>
          </cell>
          <cell r="I179" t="str">
            <v>ND</v>
          </cell>
          <cell r="M179" t="str">
            <v>On-site</v>
          </cell>
          <cell r="O179">
            <v>1</v>
          </cell>
          <cell r="P179">
            <v>0</v>
          </cell>
          <cell r="Q179">
            <v>0</v>
          </cell>
          <cell r="R179">
            <v>0</v>
          </cell>
          <cell r="S179">
            <v>1</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t="str">
            <v>Fulltime</v>
          </cell>
        </row>
        <row r="180">
          <cell r="A180">
            <v>179</v>
          </cell>
          <cell r="C180" t="str">
            <v>Foundit</v>
          </cell>
          <cell r="D180" t="str">
            <v>Data Analyst</v>
          </cell>
          <cell r="F180" t="str">
            <v>Noida</v>
          </cell>
          <cell r="G180">
            <v>6</v>
          </cell>
          <cell r="H180">
            <v>8</v>
          </cell>
          <cell r="I180" t="str">
            <v>ND</v>
          </cell>
          <cell r="M180" t="str">
            <v>On-site</v>
          </cell>
          <cell r="O180">
            <v>0</v>
          </cell>
          <cell r="P180">
            <v>0</v>
          </cell>
          <cell r="Q180">
            <v>1</v>
          </cell>
          <cell r="R180">
            <v>0</v>
          </cell>
          <cell r="S180">
            <v>1</v>
          </cell>
          <cell r="T180">
            <v>1</v>
          </cell>
          <cell r="U180">
            <v>0</v>
          </cell>
          <cell r="V180">
            <v>1</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t="str">
            <v>Fulltime</v>
          </cell>
        </row>
        <row r="181">
          <cell r="A181">
            <v>180</v>
          </cell>
          <cell r="C181" t="str">
            <v>Foundit</v>
          </cell>
          <cell r="D181" t="str">
            <v>Data Analyst</v>
          </cell>
          <cell r="F181" t="str">
            <v>Gurgaon</v>
          </cell>
          <cell r="G181">
            <v>5</v>
          </cell>
          <cell r="H181">
            <v>7</v>
          </cell>
          <cell r="I181" t="str">
            <v>ND</v>
          </cell>
          <cell r="M181" t="str">
            <v>On-site</v>
          </cell>
          <cell r="O181">
            <v>1</v>
          </cell>
          <cell r="P181">
            <v>1</v>
          </cell>
          <cell r="Q181">
            <v>1</v>
          </cell>
          <cell r="R181">
            <v>0</v>
          </cell>
          <cell r="S181">
            <v>0</v>
          </cell>
          <cell r="T181">
            <v>0</v>
          </cell>
          <cell r="U181">
            <v>0</v>
          </cell>
          <cell r="V181">
            <v>0</v>
          </cell>
          <cell r="W181">
            <v>0</v>
          </cell>
          <cell r="X181">
            <v>0</v>
          </cell>
          <cell r="Y181">
            <v>0</v>
          </cell>
          <cell r="Z181">
            <v>0</v>
          </cell>
          <cell r="AA181">
            <v>1</v>
          </cell>
          <cell r="AB181">
            <v>0</v>
          </cell>
          <cell r="AC181">
            <v>0</v>
          </cell>
          <cell r="AD181">
            <v>1</v>
          </cell>
          <cell r="AE181">
            <v>1</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t="str">
            <v>Fulltime</v>
          </cell>
        </row>
        <row r="182">
          <cell r="A182">
            <v>181</v>
          </cell>
          <cell r="C182" t="str">
            <v>Foundit</v>
          </cell>
          <cell r="D182" t="str">
            <v>Data Analyst</v>
          </cell>
          <cell r="F182" t="str">
            <v>Chennai</v>
          </cell>
          <cell r="G182">
            <v>4</v>
          </cell>
          <cell r="H182">
            <v>8</v>
          </cell>
          <cell r="I182" t="str">
            <v>ND</v>
          </cell>
          <cell r="M182" t="str">
            <v>On-site</v>
          </cell>
          <cell r="O182">
            <v>1</v>
          </cell>
          <cell r="P182">
            <v>0</v>
          </cell>
          <cell r="Q182">
            <v>1</v>
          </cell>
          <cell r="R182">
            <v>1</v>
          </cell>
          <cell r="S182">
            <v>1</v>
          </cell>
          <cell r="T182">
            <v>1</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t="str">
            <v>Fulltime</v>
          </cell>
        </row>
        <row r="183">
          <cell r="A183">
            <v>182</v>
          </cell>
          <cell r="C183" t="str">
            <v>Foundit</v>
          </cell>
          <cell r="D183" t="str">
            <v>MIS Analyst</v>
          </cell>
          <cell r="F183" t="str">
            <v>Bengaluru</v>
          </cell>
          <cell r="G183">
            <v>0</v>
          </cell>
          <cell r="H183">
            <v>2</v>
          </cell>
          <cell r="I183" t="str">
            <v>ND</v>
          </cell>
          <cell r="M183" t="str">
            <v>On-site</v>
          </cell>
          <cell r="O183">
            <v>0</v>
          </cell>
          <cell r="P183">
            <v>0</v>
          </cell>
          <cell r="Q183">
            <v>0</v>
          </cell>
          <cell r="R183">
            <v>0</v>
          </cell>
          <cell r="S183">
            <v>1</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1</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t="str">
            <v>Fulltime</v>
          </cell>
        </row>
        <row r="184">
          <cell r="A184">
            <v>183</v>
          </cell>
          <cell r="C184" t="str">
            <v>Foundit</v>
          </cell>
          <cell r="D184" t="str">
            <v>MIS Analyst</v>
          </cell>
          <cell r="F184" t="str">
            <v>Hyderabad</v>
          </cell>
          <cell r="G184">
            <v>3</v>
          </cell>
          <cell r="H184">
            <v>5</v>
          </cell>
          <cell r="I184" t="str">
            <v>ND</v>
          </cell>
          <cell r="M184" t="str">
            <v>On-site</v>
          </cell>
          <cell r="O184">
            <v>1</v>
          </cell>
          <cell r="P184">
            <v>0</v>
          </cell>
          <cell r="Q184">
            <v>0</v>
          </cell>
          <cell r="R184">
            <v>0</v>
          </cell>
          <cell r="S184">
            <v>1</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t="str">
            <v>Fulltime</v>
          </cell>
        </row>
        <row r="185">
          <cell r="A185">
            <v>184</v>
          </cell>
          <cell r="C185" t="str">
            <v>Foundit</v>
          </cell>
          <cell r="D185" t="str">
            <v>MIS Analyst</v>
          </cell>
          <cell r="F185" t="str">
            <v>Chennai</v>
          </cell>
          <cell r="G185">
            <v>1</v>
          </cell>
          <cell r="H185">
            <v>3</v>
          </cell>
          <cell r="I185">
            <v>1</v>
          </cell>
          <cell r="M185" t="str">
            <v>On-site</v>
          </cell>
          <cell r="O185">
            <v>1</v>
          </cell>
          <cell r="P185">
            <v>0</v>
          </cell>
          <cell r="Q185">
            <v>1</v>
          </cell>
          <cell r="R185">
            <v>1</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t="str">
            <v>Fulltime</v>
          </cell>
        </row>
        <row r="186">
          <cell r="A186">
            <v>185</v>
          </cell>
          <cell r="C186" t="str">
            <v>Foundit</v>
          </cell>
          <cell r="D186" t="str">
            <v>MIS Analyst</v>
          </cell>
          <cell r="F186" t="str">
            <v>Noida</v>
          </cell>
          <cell r="G186">
            <v>0</v>
          </cell>
          <cell r="H186">
            <v>2</v>
          </cell>
          <cell r="I186" t="str">
            <v>ND</v>
          </cell>
          <cell r="M186" t="str">
            <v>On-site</v>
          </cell>
          <cell r="O186">
            <v>1</v>
          </cell>
          <cell r="P186">
            <v>0</v>
          </cell>
          <cell r="Q186">
            <v>0</v>
          </cell>
          <cell r="R186">
            <v>1</v>
          </cell>
          <cell r="S186">
            <v>1</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t="str">
            <v>Fulltime</v>
          </cell>
        </row>
        <row r="187">
          <cell r="A187">
            <v>186</v>
          </cell>
          <cell r="C187" t="str">
            <v>Foundit</v>
          </cell>
          <cell r="D187" t="str">
            <v>MIS Analyst</v>
          </cell>
          <cell r="F187" t="str">
            <v>Delhi</v>
          </cell>
          <cell r="G187">
            <v>0</v>
          </cell>
          <cell r="H187">
            <v>2</v>
          </cell>
          <cell r="I187" t="str">
            <v>ND</v>
          </cell>
          <cell r="M187" t="str">
            <v>On-site</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t="str">
            <v>Fulltime</v>
          </cell>
        </row>
        <row r="188">
          <cell r="A188">
            <v>187</v>
          </cell>
          <cell r="C188" t="str">
            <v>Foundit</v>
          </cell>
          <cell r="D188" t="str">
            <v>MIS Analyst</v>
          </cell>
          <cell r="F188" t="str">
            <v>Pune</v>
          </cell>
          <cell r="G188">
            <v>3</v>
          </cell>
          <cell r="H188">
            <v>5</v>
          </cell>
          <cell r="I188" t="str">
            <v>ND</v>
          </cell>
          <cell r="M188" t="str">
            <v>On-site</v>
          </cell>
          <cell r="O188">
            <v>0</v>
          </cell>
          <cell r="P188">
            <v>0</v>
          </cell>
          <cell r="Q188">
            <v>1</v>
          </cell>
          <cell r="R188">
            <v>1</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t="str">
            <v>Fulltime</v>
          </cell>
        </row>
        <row r="189">
          <cell r="A189">
            <v>188</v>
          </cell>
          <cell r="C189" t="str">
            <v>Foundit</v>
          </cell>
          <cell r="D189" t="str">
            <v>Business Analyst</v>
          </cell>
          <cell r="F189" t="str">
            <v>Mumbai</v>
          </cell>
          <cell r="G189">
            <v>2</v>
          </cell>
          <cell r="H189">
            <v>5</v>
          </cell>
          <cell r="I189" t="str">
            <v>ND</v>
          </cell>
          <cell r="M189" t="str">
            <v>On-site</v>
          </cell>
          <cell r="O189">
            <v>0</v>
          </cell>
          <cell r="P189">
            <v>0</v>
          </cell>
          <cell r="Q189">
            <v>0</v>
          </cell>
          <cell r="R189">
            <v>0</v>
          </cell>
          <cell r="S189">
            <v>1</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1</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t="str">
            <v>Fulltime</v>
          </cell>
        </row>
        <row r="190">
          <cell r="A190">
            <v>189</v>
          </cell>
          <cell r="C190" t="str">
            <v>Foundit</v>
          </cell>
          <cell r="D190" t="str">
            <v>MIS Analyst</v>
          </cell>
          <cell r="F190" t="str">
            <v>Noida</v>
          </cell>
          <cell r="G190">
            <v>2</v>
          </cell>
          <cell r="H190">
            <v>4</v>
          </cell>
          <cell r="I190" t="str">
            <v>ND</v>
          </cell>
          <cell r="M190" t="str">
            <v>On-site</v>
          </cell>
          <cell r="O190">
            <v>0</v>
          </cell>
          <cell r="P190">
            <v>0</v>
          </cell>
          <cell r="Q190">
            <v>0</v>
          </cell>
          <cell r="R190">
            <v>1</v>
          </cell>
          <cell r="S190">
            <v>1</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t="str">
            <v>Fulltime</v>
          </cell>
        </row>
        <row r="191">
          <cell r="A191">
            <v>190</v>
          </cell>
          <cell r="C191" t="str">
            <v>Foundit</v>
          </cell>
          <cell r="D191" t="str">
            <v>MIS Analyst</v>
          </cell>
          <cell r="F191" t="str">
            <v>Mumbai</v>
          </cell>
          <cell r="G191">
            <v>1</v>
          </cell>
          <cell r="H191">
            <v>5</v>
          </cell>
          <cell r="I191" t="str">
            <v>ND</v>
          </cell>
          <cell r="M191" t="str">
            <v>On-site</v>
          </cell>
          <cell r="O191">
            <v>0</v>
          </cell>
          <cell r="P191">
            <v>0</v>
          </cell>
          <cell r="Q191">
            <v>0</v>
          </cell>
          <cell r="R191">
            <v>0</v>
          </cell>
          <cell r="S191">
            <v>1</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1</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t="str">
            <v>Fulltime</v>
          </cell>
        </row>
        <row r="192">
          <cell r="A192">
            <v>191</v>
          </cell>
          <cell r="C192" t="str">
            <v>Foundit</v>
          </cell>
          <cell r="D192" t="str">
            <v>Data Analyst</v>
          </cell>
          <cell r="F192" t="str">
            <v>Noida</v>
          </cell>
          <cell r="G192">
            <v>1</v>
          </cell>
          <cell r="H192">
            <v>3</v>
          </cell>
          <cell r="I192" t="str">
            <v>ND</v>
          </cell>
          <cell r="M192" t="str">
            <v>On-site</v>
          </cell>
          <cell r="O192">
            <v>1</v>
          </cell>
          <cell r="P192">
            <v>0</v>
          </cell>
          <cell r="Q192">
            <v>0</v>
          </cell>
          <cell r="R192">
            <v>0</v>
          </cell>
          <cell r="S192">
            <v>1</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t="str">
            <v>Fulltime</v>
          </cell>
        </row>
        <row r="193">
          <cell r="A193">
            <v>192</v>
          </cell>
          <cell r="C193" t="str">
            <v>Foundit</v>
          </cell>
          <cell r="D193" t="str">
            <v>MIS Analyst</v>
          </cell>
          <cell r="F193" t="str">
            <v>Pune</v>
          </cell>
          <cell r="G193">
            <v>7</v>
          </cell>
          <cell r="H193">
            <v>9</v>
          </cell>
          <cell r="I193" t="str">
            <v>ND</v>
          </cell>
          <cell r="M193" t="str">
            <v>On-site</v>
          </cell>
          <cell r="O193">
            <v>0</v>
          </cell>
          <cell r="P193">
            <v>0</v>
          </cell>
          <cell r="Q193">
            <v>0</v>
          </cell>
          <cell r="R193">
            <v>0</v>
          </cell>
          <cell r="S193">
            <v>1</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1</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t="str">
            <v>Fulltime</v>
          </cell>
        </row>
        <row r="194">
          <cell r="A194">
            <v>193</v>
          </cell>
          <cell r="C194" t="str">
            <v>Foundit</v>
          </cell>
          <cell r="D194" t="str">
            <v>Business Analyst</v>
          </cell>
          <cell r="F194" t="str">
            <v>Hyderabad</v>
          </cell>
          <cell r="G194">
            <v>3</v>
          </cell>
          <cell r="H194">
            <v>7</v>
          </cell>
          <cell r="I194" t="str">
            <v>ND</v>
          </cell>
          <cell r="M194" t="str">
            <v>On-site</v>
          </cell>
          <cell r="O194">
            <v>0</v>
          </cell>
          <cell r="P194">
            <v>0</v>
          </cell>
          <cell r="Q194">
            <v>1</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t="str">
            <v>Fulltime</v>
          </cell>
        </row>
        <row r="195">
          <cell r="A195">
            <v>194</v>
          </cell>
          <cell r="C195" t="str">
            <v>Foundit</v>
          </cell>
          <cell r="D195" t="str">
            <v>Business Analyst</v>
          </cell>
          <cell r="F195" t="str">
            <v>Bengaluru</v>
          </cell>
          <cell r="G195">
            <v>0</v>
          </cell>
          <cell r="H195">
            <v>2</v>
          </cell>
          <cell r="I195" t="str">
            <v>ND</v>
          </cell>
          <cell r="M195" t="str">
            <v>On-site</v>
          </cell>
          <cell r="O195">
            <v>1</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t="str">
            <v>Fulltime</v>
          </cell>
        </row>
        <row r="196">
          <cell r="A196">
            <v>195</v>
          </cell>
          <cell r="C196" t="str">
            <v>Foundit</v>
          </cell>
          <cell r="D196" t="str">
            <v>Business Analyst</v>
          </cell>
          <cell r="F196" t="str">
            <v>Pune</v>
          </cell>
          <cell r="G196">
            <v>0</v>
          </cell>
          <cell r="H196">
            <v>2</v>
          </cell>
          <cell r="I196" t="str">
            <v>ND</v>
          </cell>
          <cell r="M196" t="str">
            <v>On-site</v>
          </cell>
          <cell r="O196">
            <v>0</v>
          </cell>
          <cell r="P196">
            <v>0</v>
          </cell>
          <cell r="Q196">
            <v>0</v>
          </cell>
          <cell r="R196">
            <v>0</v>
          </cell>
          <cell r="S196">
            <v>1</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t="str">
            <v>Fulltime</v>
          </cell>
        </row>
        <row r="197">
          <cell r="A197">
            <v>196</v>
          </cell>
          <cell r="C197" t="str">
            <v>Foundit</v>
          </cell>
          <cell r="D197" t="str">
            <v>Business Analyst</v>
          </cell>
          <cell r="F197" t="str">
            <v>Pune</v>
          </cell>
          <cell r="G197">
            <v>0</v>
          </cell>
          <cell r="H197">
            <v>2</v>
          </cell>
          <cell r="I197" t="str">
            <v>ND</v>
          </cell>
          <cell r="M197" t="str">
            <v>On-site</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t="str">
            <v>Fulltime</v>
          </cell>
        </row>
        <row r="198">
          <cell r="A198">
            <v>197</v>
          </cell>
          <cell r="C198" t="str">
            <v>Foundit</v>
          </cell>
          <cell r="D198" t="str">
            <v>Business Analyst</v>
          </cell>
          <cell r="F198" t="str">
            <v>Gurgaon</v>
          </cell>
          <cell r="G198">
            <v>0</v>
          </cell>
          <cell r="H198">
            <v>2</v>
          </cell>
          <cell r="I198" t="str">
            <v>ND</v>
          </cell>
          <cell r="M198" t="str">
            <v>On-site</v>
          </cell>
          <cell r="O198">
            <v>1</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t="str">
            <v>Fulltime</v>
          </cell>
        </row>
        <row r="199">
          <cell r="A199">
            <v>198</v>
          </cell>
          <cell r="C199" t="str">
            <v>Foundit</v>
          </cell>
          <cell r="D199" t="str">
            <v>Business Analyst</v>
          </cell>
          <cell r="F199" t="str">
            <v>Bengaluru</v>
          </cell>
          <cell r="G199">
            <v>7</v>
          </cell>
          <cell r="H199">
            <v>9</v>
          </cell>
          <cell r="I199" t="str">
            <v>ND</v>
          </cell>
          <cell r="M199" t="str">
            <v>On-site</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t="str">
            <v>Fulltime</v>
          </cell>
        </row>
        <row r="200">
          <cell r="A200">
            <v>199</v>
          </cell>
          <cell r="C200" t="str">
            <v>Foundit</v>
          </cell>
          <cell r="D200" t="str">
            <v>Business Analyst</v>
          </cell>
          <cell r="F200" t="str">
            <v>Bengaluru</v>
          </cell>
          <cell r="G200">
            <v>2</v>
          </cell>
          <cell r="H200">
            <v>4</v>
          </cell>
          <cell r="I200" t="str">
            <v>ND</v>
          </cell>
          <cell r="M200" t="str">
            <v>On-site</v>
          </cell>
          <cell r="O200">
            <v>1</v>
          </cell>
          <cell r="P200">
            <v>0</v>
          </cell>
          <cell r="Q200">
            <v>0</v>
          </cell>
          <cell r="R200">
            <v>0</v>
          </cell>
          <cell r="S200">
            <v>1</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t="str">
            <v>Fulltime</v>
          </cell>
        </row>
        <row r="201">
          <cell r="A201">
            <v>200</v>
          </cell>
          <cell r="C201" t="str">
            <v>Foundit</v>
          </cell>
          <cell r="D201" t="str">
            <v>Business Analyst</v>
          </cell>
          <cell r="F201" t="str">
            <v>Noida</v>
          </cell>
          <cell r="G201">
            <v>0</v>
          </cell>
          <cell r="H201">
            <v>2</v>
          </cell>
          <cell r="I201" t="str">
            <v>ND</v>
          </cell>
          <cell r="M201" t="str">
            <v>On-site</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t="str">
            <v>Fulltime</v>
          </cell>
        </row>
        <row r="202">
          <cell r="A202">
            <v>201</v>
          </cell>
          <cell r="C202" t="str">
            <v>Foundit</v>
          </cell>
          <cell r="D202" t="str">
            <v>BI Developer</v>
          </cell>
          <cell r="F202" t="str">
            <v>Noida</v>
          </cell>
          <cell r="G202">
            <v>8</v>
          </cell>
          <cell r="H202">
            <v>10</v>
          </cell>
          <cell r="I202" t="str">
            <v>ND</v>
          </cell>
          <cell r="M202" t="str">
            <v>On-site</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t="str">
            <v>Fulltime</v>
          </cell>
        </row>
        <row r="203">
          <cell r="A203">
            <v>202</v>
          </cell>
          <cell r="C203" t="str">
            <v>Foundit</v>
          </cell>
          <cell r="D203" t="str">
            <v>BI Developer</v>
          </cell>
          <cell r="F203" t="str">
            <v>Delhi</v>
          </cell>
          <cell r="G203">
            <v>4</v>
          </cell>
          <cell r="H203">
            <v>7</v>
          </cell>
          <cell r="I203" t="str">
            <v>ND</v>
          </cell>
          <cell r="M203" t="str">
            <v>On-site</v>
          </cell>
          <cell r="O203">
            <v>0</v>
          </cell>
          <cell r="P203">
            <v>0</v>
          </cell>
          <cell r="Q203">
            <v>1</v>
          </cell>
          <cell r="R203">
            <v>0</v>
          </cell>
          <cell r="S203">
            <v>0</v>
          </cell>
          <cell r="T203">
            <v>0</v>
          </cell>
          <cell r="U203">
            <v>0</v>
          </cell>
          <cell r="V203">
            <v>0</v>
          </cell>
          <cell r="W203">
            <v>0</v>
          </cell>
          <cell r="X203">
            <v>1</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t="str">
            <v>Fulltime</v>
          </cell>
        </row>
        <row r="204">
          <cell r="A204">
            <v>203</v>
          </cell>
          <cell r="C204" t="str">
            <v>Foundit</v>
          </cell>
          <cell r="D204" t="str">
            <v>BI Developer</v>
          </cell>
          <cell r="F204" t="str">
            <v>Bengaluru</v>
          </cell>
          <cell r="G204">
            <v>6</v>
          </cell>
          <cell r="H204">
            <v>8</v>
          </cell>
          <cell r="I204" t="str">
            <v>ND</v>
          </cell>
          <cell r="M204" t="str">
            <v>On-site</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t="str">
            <v>Fulltime</v>
          </cell>
        </row>
        <row r="205">
          <cell r="A205">
            <v>204</v>
          </cell>
          <cell r="C205" t="str">
            <v>Foundit</v>
          </cell>
          <cell r="D205" t="str">
            <v>BI Developer</v>
          </cell>
          <cell r="F205" t="str">
            <v>Bengaluru</v>
          </cell>
          <cell r="G205">
            <v>8</v>
          </cell>
          <cell r="H205">
            <v>10</v>
          </cell>
          <cell r="I205" t="str">
            <v>ND</v>
          </cell>
          <cell r="M205" t="str">
            <v>On-site</v>
          </cell>
          <cell r="O205">
            <v>1</v>
          </cell>
          <cell r="P205">
            <v>0</v>
          </cell>
          <cell r="Q205">
            <v>1</v>
          </cell>
          <cell r="R205">
            <v>0</v>
          </cell>
          <cell r="S205">
            <v>0</v>
          </cell>
          <cell r="T205">
            <v>0</v>
          </cell>
          <cell r="U205">
            <v>1</v>
          </cell>
          <cell r="V205">
            <v>0</v>
          </cell>
          <cell r="W205">
            <v>0</v>
          </cell>
          <cell r="X205">
            <v>1</v>
          </cell>
          <cell r="Y205">
            <v>0</v>
          </cell>
          <cell r="Z205">
            <v>0</v>
          </cell>
          <cell r="AA205">
            <v>0</v>
          </cell>
          <cell r="AB205">
            <v>0</v>
          </cell>
          <cell r="AC205">
            <v>0</v>
          </cell>
          <cell r="AD205">
            <v>1</v>
          </cell>
          <cell r="AE205">
            <v>0</v>
          </cell>
          <cell r="AF205">
            <v>0</v>
          </cell>
          <cell r="AG205">
            <v>0</v>
          </cell>
          <cell r="AH205">
            <v>0</v>
          </cell>
          <cell r="AI205">
            <v>0</v>
          </cell>
          <cell r="AJ205">
            <v>0</v>
          </cell>
          <cell r="AK205">
            <v>1</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t="str">
            <v>Fulltime</v>
          </cell>
        </row>
        <row r="206">
          <cell r="A206">
            <v>205</v>
          </cell>
          <cell r="C206" t="str">
            <v>Foundit</v>
          </cell>
          <cell r="D206" t="str">
            <v>BI Developer</v>
          </cell>
          <cell r="F206" t="str">
            <v>Hyderabad</v>
          </cell>
          <cell r="G206">
            <v>7</v>
          </cell>
          <cell r="H206">
            <v>9</v>
          </cell>
          <cell r="I206" t="str">
            <v>ND</v>
          </cell>
          <cell r="M206" t="str">
            <v>On-site</v>
          </cell>
          <cell r="O206">
            <v>1</v>
          </cell>
          <cell r="P206">
            <v>0</v>
          </cell>
          <cell r="Q206">
            <v>1</v>
          </cell>
          <cell r="R206">
            <v>0</v>
          </cell>
          <cell r="S206">
            <v>0</v>
          </cell>
          <cell r="T206">
            <v>0</v>
          </cell>
          <cell r="U206">
            <v>0</v>
          </cell>
          <cell r="V206">
            <v>0</v>
          </cell>
          <cell r="W206">
            <v>0</v>
          </cell>
          <cell r="X206">
            <v>0</v>
          </cell>
          <cell r="Y206">
            <v>0</v>
          </cell>
          <cell r="Z206">
            <v>0</v>
          </cell>
          <cell r="AA206">
            <v>0</v>
          </cell>
          <cell r="AB206">
            <v>0</v>
          </cell>
          <cell r="AC206">
            <v>1</v>
          </cell>
          <cell r="AD206">
            <v>1</v>
          </cell>
          <cell r="AE206">
            <v>0</v>
          </cell>
          <cell r="AF206">
            <v>0</v>
          </cell>
          <cell r="AG206">
            <v>0</v>
          </cell>
          <cell r="AH206">
            <v>0</v>
          </cell>
          <cell r="AI206">
            <v>0</v>
          </cell>
          <cell r="AJ206">
            <v>1</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t="str">
            <v>Fulltime</v>
          </cell>
        </row>
        <row r="207">
          <cell r="A207">
            <v>206</v>
          </cell>
          <cell r="C207" t="str">
            <v>Internshala</v>
          </cell>
          <cell r="D207" t="str">
            <v>Business Analyst</v>
          </cell>
          <cell r="F207" t="str">
            <v>Noida</v>
          </cell>
          <cell r="G207">
            <v>0</v>
          </cell>
          <cell r="H207">
            <v>0</v>
          </cell>
          <cell r="I207">
            <v>5000</v>
          </cell>
          <cell r="M207" t="str">
            <v>Onsite</v>
          </cell>
          <cell r="O207">
            <v>0</v>
          </cell>
          <cell r="P207">
            <v>0</v>
          </cell>
          <cell r="Q207">
            <v>0</v>
          </cell>
          <cell r="R207">
            <v>0</v>
          </cell>
          <cell r="S207">
            <v>1</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t="str">
            <v>Internship</v>
          </cell>
        </row>
        <row r="208">
          <cell r="A208">
            <v>207</v>
          </cell>
          <cell r="C208" t="str">
            <v>Internshala</v>
          </cell>
          <cell r="D208" t="str">
            <v>Data Analyst</v>
          </cell>
          <cell r="F208" t="str">
            <v>Remote</v>
          </cell>
          <cell r="G208">
            <v>0</v>
          </cell>
          <cell r="H208">
            <v>0</v>
          </cell>
          <cell r="I208">
            <v>10000</v>
          </cell>
          <cell r="M208" t="str">
            <v>Remote</v>
          </cell>
          <cell r="O208">
            <v>1</v>
          </cell>
          <cell r="P208">
            <v>1</v>
          </cell>
          <cell r="Q208">
            <v>1</v>
          </cell>
          <cell r="R208">
            <v>1</v>
          </cell>
          <cell r="S208">
            <v>1</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t="str">
            <v>Internship</v>
          </cell>
        </row>
        <row r="209">
          <cell r="A209">
            <v>208</v>
          </cell>
          <cell r="C209" t="str">
            <v>Internshala</v>
          </cell>
          <cell r="D209" t="str">
            <v>Data Analyst</v>
          </cell>
          <cell r="F209" t="str">
            <v>Remote</v>
          </cell>
          <cell r="G209">
            <v>0</v>
          </cell>
          <cell r="H209">
            <v>0</v>
          </cell>
          <cell r="I209">
            <v>10000</v>
          </cell>
          <cell r="M209" t="str">
            <v>Remote</v>
          </cell>
          <cell r="O209">
            <v>1</v>
          </cell>
          <cell r="P209">
            <v>1</v>
          </cell>
          <cell r="Q209">
            <v>1</v>
          </cell>
          <cell r="R209">
            <v>1</v>
          </cell>
          <cell r="S209">
            <v>1</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t="str">
            <v>Internship</v>
          </cell>
        </row>
        <row r="210">
          <cell r="A210">
            <v>209</v>
          </cell>
          <cell r="C210" t="str">
            <v>Unstop</v>
          </cell>
          <cell r="D210" t="str">
            <v>Data Analyst</v>
          </cell>
          <cell r="F210" t="str">
            <v>Remote</v>
          </cell>
          <cell r="G210">
            <v>0</v>
          </cell>
          <cell r="H210">
            <v>0</v>
          </cell>
          <cell r="I210">
            <v>5000</v>
          </cell>
          <cell r="M210" t="str">
            <v>Remote</v>
          </cell>
          <cell r="O210">
            <v>1</v>
          </cell>
          <cell r="P210">
            <v>0</v>
          </cell>
          <cell r="Q210">
            <v>1</v>
          </cell>
          <cell r="R210">
            <v>1</v>
          </cell>
          <cell r="S210">
            <v>1</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t="str">
            <v>Internship</v>
          </cell>
        </row>
        <row r="211">
          <cell r="A211">
            <v>210</v>
          </cell>
          <cell r="C211" t="str">
            <v>Unstop</v>
          </cell>
          <cell r="D211" t="str">
            <v>MIS Analyst</v>
          </cell>
          <cell r="F211" t="str">
            <v>Remote</v>
          </cell>
          <cell r="G211">
            <v>0</v>
          </cell>
          <cell r="H211">
            <v>0</v>
          </cell>
          <cell r="I211">
            <v>12000</v>
          </cell>
          <cell r="M211" t="str">
            <v>Remote</v>
          </cell>
          <cell r="O211">
            <v>0</v>
          </cell>
          <cell r="P211">
            <v>0</v>
          </cell>
          <cell r="Q211">
            <v>0</v>
          </cell>
          <cell r="R211">
            <v>0</v>
          </cell>
          <cell r="S211">
            <v>1</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t="str">
            <v>Internship</v>
          </cell>
        </row>
        <row r="212">
          <cell r="A212">
            <v>211</v>
          </cell>
          <cell r="C212" t="str">
            <v>Unstop</v>
          </cell>
          <cell r="D212" t="str">
            <v>Data Analyst</v>
          </cell>
          <cell r="F212" t="str">
            <v>Pune</v>
          </cell>
          <cell r="G212">
            <v>0</v>
          </cell>
          <cell r="H212">
            <v>0</v>
          </cell>
          <cell r="I212" t="str">
            <v>NA</v>
          </cell>
          <cell r="M212" t="str">
            <v>On-site</v>
          </cell>
          <cell r="O212">
            <v>0</v>
          </cell>
          <cell r="P212">
            <v>1</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t="str">
            <v>Internship</v>
          </cell>
        </row>
        <row r="213">
          <cell r="A213">
            <v>212</v>
          </cell>
          <cell r="C213" t="str">
            <v>Unstop</v>
          </cell>
          <cell r="D213" t="str">
            <v>MIS Analyst</v>
          </cell>
          <cell r="F213" t="str">
            <v>Gurgaon</v>
          </cell>
          <cell r="G213">
            <v>0</v>
          </cell>
          <cell r="H213">
            <v>0</v>
          </cell>
          <cell r="I213" t="str">
            <v>NA</v>
          </cell>
          <cell r="M213" t="str">
            <v>On-site</v>
          </cell>
          <cell r="O213">
            <v>0</v>
          </cell>
          <cell r="P213">
            <v>0</v>
          </cell>
          <cell r="Q213">
            <v>0</v>
          </cell>
          <cell r="R213">
            <v>0</v>
          </cell>
          <cell r="S213">
            <v>1</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1</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t="str">
            <v>Internship</v>
          </cell>
        </row>
        <row r="214">
          <cell r="A214">
            <v>213</v>
          </cell>
          <cell r="C214" t="str">
            <v>Unstop</v>
          </cell>
          <cell r="D214" t="str">
            <v>Data Analyst</v>
          </cell>
          <cell r="F214" t="str">
            <v>Bengaluru</v>
          </cell>
          <cell r="G214">
            <v>0</v>
          </cell>
          <cell r="H214">
            <v>0</v>
          </cell>
          <cell r="I214" t="str">
            <v>NA</v>
          </cell>
          <cell r="M214" t="str">
            <v>On-site</v>
          </cell>
          <cell r="O214">
            <v>1</v>
          </cell>
          <cell r="P214">
            <v>1</v>
          </cell>
          <cell r="Q214">
            <v>1</v>
          </cell>
          <cell r="R214">
            <v>1</v>
          </cell>
          <cell r="S214">
            <v>1</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t="str">
            <v>Internship</v>
          </cell>
        </row>
        <row r="215">
          <cell r="A215">
            <v>214</v>
          </cell>
          <cell r="C215" t="str">
            <v>Unstop</v>
          </cell>
          <cell r="D215" t="str">
            <v>MIS Analyst</v>
          </cell>
          <cell r="F215" t="str">
            <v>Pune</v>
          </cell>
          <cell r="G215">
            <v>0</v>
          </cell>
          <cell r="H215">
            <v>0</v>
          </cell>
          <cell r="I215" t="str">
            <v>NA</v>
          </cell>
          <cell r="M215" t="str">
            <v>On-site</v>
          </cell>
          <cell r="O215">
            <v>0</v>
          </cell>
          <cell r="P215">
            <v>0</v>
          </cell>
          <cell r="Q215">
            <v>0</v>
          </cell>
          <cell r="R215">
            <v>0</v>
          </cell>
          <cell r="S215">
            <v>1</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1</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t="str">
            <v>Internship</v>
          </cell>
        </row>
        <row r="216">
          <cell r="A216">
            <v>215</v>
          </cell>
          <cell r="C216" t="str">
            <v>Unstop</v>
          </cell>
          <cell r="D216" t="str">
            <v>Data Analyst</v>
          </cell>
          <cell r="F216" t="str">
            <v>Remote</v>
          </cell>
          <cell r="G216">
            <v>0</v>
          </cell>
          <cell r="H216">
            <v>0</v>
          </cell>
          <cell r="I216" t="str">
            <v>NA</v>
          </cell>
          <cell r="M216" t="str">
            <v>Remote</v>
          </cell>
          <cell r="O216">
            <v>1</v>
          </cell>
          <cell r="P216">
            <v>1</v>
          </cell>
          <cell r="Q216">
            <v>0</v>
          </cell>
          <cell r="R216">
            <v>0</v>
          </cell>
          <cell r="S216">
            <v>0</v>
          </cell>
          <cell r="T216">
            <v>0</v>
          </cell>
          <cell r="U216">
            <v>0</v>
          </cell>
          <cell r="V216">
            <v>0</v>
          </cell>
          <cell r="W216">
            <v>0</v>
          </cell>
          <cell r="X216">
            <v>0</v>
          </cell>
          <cell r="Y216">
            <v>1</v>
          </cell>
          <cell r="Z216">
            <v>0</v>
          </cell>
          <cell r="AA216">
            <v>0</v>
          </cell>
          <cell r="AB216">
            <v>0</v>
          </cell>
          <cell r="AC216">
            <v>0</v>
          </cell>
          <cell r="AD216">
            <v>0</v>
          </cell>
          <cell r="AE216">
            <v>0</v>
          </cell>
          <cell r="AF216">
            <v>0</v>
          </cell>
          <cell r="AG216">
            <v>0</v>
          </cell>
          <cell r="AH216">
            <v>0</v>
          </cell>
          <cell r="AI216">
            <v>0</v>
          </cell>
          <cell r="AJ216">
            <v>0</v>
          </cell>
          <cell r="AK216">
            <v>1</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t="str">
            <v>Internship</v>
          </cell>
        </row>
        <row r="217">
          <cell r="A217">
            <v>216</v>
          </cell>
          <cell r="C217" t="str">
            <v>Unstop</v>
          </cell>
          <cell r="D217" t="str">
            <v>Data Analyst</v>
          </cell>
          <cell r="F217" t="str">
            <v>Bengaluru</v>
          </cell>
          <cell r="G217">
            <v>0</v>
          </cell>
          <cell r="H217">
            <v>0</v>
          </cell>
          <cell r="I217" t="str">
            <v>NA</v>
          </cell>
          <cell r="M217" t="str">
            <v>On-site</v>
          </cell>
          <cell r="O217">
            <v>0</v>
          </cell>
          <cell r="P217">
            <v>1</v>
          </cell>
          <cell r="Q217">
            <v>0</v>
          </cell>
          <cell r="R217">
            <v>0</v>
          </cell>
          <cell r="S217">
            <v>0</v>
          </cell>
          <cell r="T217">
            <v>1</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t="str">
            <v>Internship</v>
          </cell>
        </row>
        <row r="218">
          <cell r="A218">
            <v>217</v>
          </cell>
          <cell r="C218" t="str">
            <v>Unstop</v>
          </cell>
          <cell r="D218" t="str">
            <v>Data Engineer</v>
          </cell>
          <cell r="F218" t="str">
            <v>Bengaluru</v>
          </cell>
          <cell r="G218">
            <v>0</v>
          </cell>
          <cell r="H218">
            <v>0</v>
          </cell>
          <cell r="I218" t="str">
            <v>NA</v>
          </cell>
          <cell r="M218" t="str">
            <v>On-site</v>
          </cell>
          <cell r="O218">
            <v>1</v>
          </cell>
          <cell r="P218">
            <v>0</v>
          </cell>
          <cell r="Q218">
            <v>0</v>
          </cell>
          <cell r="R218">
            <v>0</v>
          </cell>
          <cell r="S218">
            <v>0</v>
          </cell>
          <cell r="T218">
            <v>0</v>
          </cell>
          <cell r="U218">
            <v>1</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1</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t="str">
            <v>Internship</v>
          </cell>
        </row>
        <row r="219">
          <cell r="A219">
            <v>218</v>
          </cell>
          <cell r="C219" t="str">
            <v>Unstop</v>
          </cell>
          <cell r="D219" t="str">
            <v>Data Engineer</v>
          </cell>
          <cell r="F219" t="str">
            <v>Mumbai</v>
          </cell>
          <cell r="G219">
            <v>0</v>
          </cell>
          <cell r="H219">
            <v>0</v>
          </cell>
          <cell r="I219" t="str">
            <v>NA</v>
          </cell>
          <cell r="M219" t="str">
            <v>On-site</v>
          </cell>
          <cell r="O219">
            <v>1</v>
          </cell>
          <cell r="P219">
            <v>0</v>
          </cell>
          <cell r="Q219">
            <v>0</v>
          </cell>
          <cell r="R219">
            <v>0</v>
          </cell>
          <cell r="S219">
            <v>0</v>
          </cell>
          <cell r="T219">
            <v>0</v>
          </cell>
          <cell r="U219">
            <v>0</v>
          </cell>
          <cell r="V219">
            <v>0</v>
          </cell>
          <cell r="W219">
            <v>0</v>
          </cell>
          <cell r="X219">
            <v>0</v>
          </cell>
          <cell r="Y219">
            <v>0</v>
          </cell>
          <cell r="Z219">
            <v>0</v>
          </cell>
          <cell r="AA219">
            <v>1</v>
          </cell>
          <cell r="AB219">
            <v>1</v>
          </cell>
          <cell r="AC219">
            <v>1</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t="str">
            <v>Internship</v>
          </cell>
        </row>
        <row r="220">
          <cell r="A220">
            <v>219</v>
          </cell>
          <cell r="C220" t="str">
            <v>LinkedIn</v>
          </cell>
          <cell r="D220" t="str">
            <v>Business Analyst</v>
          </cell>
          <cell r="F220" t="str">
            <v>Remote</v>
          </cell>
          <cell r="G220">
            <v>0</v>
          </cell>
          <cell r="H220">
            <v>0</v>
          </cell>
          <cell r="I220" t="str">
            <v>NA</v>
          </cell>
          <cell r="M220" t="str">
            <v>Remote</v>
          </cell>
          <cell r="O220">
            <v>1</v>
          </cell>
          <cell r="P220">
            <v>0</v>
          </cell>
          <cell r="Q220">
            <v>0</v>
          </cell>
          <cell r="R220">
            <v>0</v>
          </cell>
          <cell r="S220">
            <v>1</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1</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t="str">
            <v>Internship</v>
          </cell>
        </row>
        <row r="221">
          <cell r="A221">
            <v>220</v>
          </cell>
          <cell r="C221" t="str">
            <v>LinkedIn</v>
          </cell>
          <cell r="D221" t="str">
            <v>Data Analyst</v>
          </cell>
          <cell r="F221" t="str">
            <v>Gurgaon</v>
          </cell>
          <cell r="G221">
            <v>0</v>
          </cell>
          <cell r="H221">
            <v>0</v>
          </cell>
          <cell r="I221">
            <v>20000</v>
          </cell>
          <cell r="M221" t="str">
            <v>Remote</v>
          </cell>
          <cell r="O221">
            <v>1</v>
          </cell>
          <cell r="P221">
            <v>1</v>
          </cell>
          <cell r="Q221">
            <v>0</v>
          </cell>
          <cell r="R221">
            <v>0</v>
          </cell>
          <cell r="S221">
            <v>1</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t="str">
            <v>Internship</v>
          </cell>
        </row>
        <row r="222">
          <cell r="A222">
            <v>221</v>
          </cell>
          <cell r="C222" t="str">
            <v>LinkedIn</v>
          </cell>
          <cell r="D222" t="str">
            <v>Data Engineer</v>
          </cell>
          <cell r="F222" t="str">
            <v>Remote</v>
          </cell>
          <cell r="G222">
            <v>0</v>
          </cell>
          <cell r="H222">
            <v>0</v>
          </cell>
          <cell r="I222" t="str">
            <v>NA</v>
          </cell>
          <cell r="M222" t="str">
            <v>Remote</v>
          </cell>
          <cell r="O222">
            <v>1</v>
          </cell>
          <cell r="P222">
            <v>0</v>
          </cell>
          <cell r="Q222">
            <v>0</v>
          </cell>
          <cell r="R222">
            <v>0</v>
          </cell>
          <cell r="S222">
            <v>0</v>
          </cell>
          <cell r="T222">
            <v>0</v>
          </cell>
          <cell r="U222">
            <v>1</v>
          </cell>
          <cell r="V222">
            <v>0</v>
          </cell>
          <cell r="W222">
            <v>0</v>
          </cell>
          <cell r="X222">
            <v>0</v>
          </cell>
          <cell r="Y222">
            <v>0</v>
          </cell>
          <cell r="Z222">
            <v>0</v>
          </cell>
          <cell r="AA222">
            <v>0</v>
          </cell>
          <cell r="AB222">
            <v>0</v>
          </cell>
          <cell r="AC222">
            <v>1</v>
          </cell>
          <cell r="AD222">
            <v>0</v>
          </cell>
          <cell r="AE222">
            <v>1</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t="str">
            <v>Internship</v>
          </cell>
        </row>
        <row r="223">
          <cell r="A223">
            <v>222</v>
          </cell>
          <cell r="C223" t="str">
            <v>LinkedIn</v>
          </cell>
          <cell r="D223" t="str">
            <v>Data Analyst</v>
          </cell>
          <cell r="F223" t="str">
            <v>Bengaluru</v>
          </cell>
          <cell r="G223">
            <v>0</v>
          </cell>
          <cell r="H223">
            <v>0</v>
          </cell>
          <cell r="I223" t="str">
            <v>NA</v>
          </cell>
          <cell r="M223" t="str">
            <v>Remote</v>
          </cell>
          <cell r="O223">
            <v>1</v>
          </cell>
          <cell r="P223">
            <v>0</v>
          </cell>
          <cell r="Q223">
            <v>0</v>
          </cell>
          <cell r="R223">
            <v>1</v>
          </cell>
          <cell r="S223">
            <v>1</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t="str">
            <v>Internship</v>
          </cell>
        </row>
        <row r="224">
          <cell r="A224">
            <v>223</v>
          </cell>
          <cell r="C224" t="str">
            <v>LinkedIn</v>
          </cell>
          <cell r="D224" t="str">
            <v>Data Analyst</v>
          </cell>
          <cell r="F224" t="str">
            <v>Remote</v>
          </cell>
          <cell r="G224">
            <v>0</v>
          </cell>
          <cell r="H224">
            <v>0</v>
          </cell>
          <cell r="I224" t="str">
            <v>NA</v>
          </cell>
          <cell r="M224" t="str">
            <v>Remote</v>
          </cell>
          <cell r="O224">
            <v>1</v>
          </cell>
          <cell r="P224">
            <v>0</v>
          </cell>
          <cell r="Q224">
            <v>1</v>
          </cell>
          <cell r="R224">
            <v>0</v>
          </cell>
          <cell r="S224">
            <v>1</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t="str">
            <v>Internship</v>
          </cell>
        </row>
        <row r="225">
          <cell r="A225">
            <v>224</v>
          </cell>
          <cell r="C225" t="str">
            <v>Naukri</v>
          </cell>
          <cell r="D225" t="str">
            <v>Business Analyst</v>
          </cell>
          <cell r="F225" t="str">
            <v>Bengaluru</v>
          </cell>
          <cell r="G225">
            <v>0</v>
          </cell>
          <cell r="H225">
            <v>0</v>
          </cell>
          <cell r="I225" t="str">
            <v>NA</v>
          </cell>
          <cell r="M225" t="str">
            <v>On-site</v>
          </cell>
          <cell r="O225">
            <v>1</v>
          </cell>
          <cell r="P225">
            <v>0</v>
          </cell>
          <cell r="Q225">
            <v>0</v>
          </cell>
          <cell r="R225">
            <v>0</v>
          </cell>
          <cell r="S225">
            <v>1</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t="str">
            <v>Internship</v>
          </cell>
        </row>
        <row r="226">
          <cell r="A226">
            <v>225</v>
          </cell>
          <cell r="C226" t="str">
            <v>Naukri</v>
          </cell>
          <cell r="D226" t="str">
            <v>Data Analyst</v>
          </cell>
          <cell r="F226" t="str">
            <v>Mumbai</v>
          </cell>
          <cell r="G226">
            <v>0</v>
          </cell>
          <cell r="H226">
            <v>0</v>
          </cell>
          <cell r="I226" t="str">
            <v>NA</v>
          </cell>
          <cell r="M226" t="str">
            <v>On-site</v>
          </cell>
          <cell r="O226">
            <v>1</v>
          </cell>
          <cell r="P226">
            <v>1</v>
          </cell>
          <cell r="Q226">
            <v>1</v>
          </cell>
          <cell r="R226">
            <v>0</v>
          </cell>
          <cell r="S226">
            <v>1</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t="str">
            <v>Internship</v>
          </cell>
        </row>
        <row r="227">
          <cell r="A227">
            <v>226</v>
          </cell>
          <cell r="C227" t="str">
            <v>Naukri</v>
          </cell>
          <cell r="D227" t="str">
            <v>Business Analyst</v>
          </cell>
          <cell r="F227" t="str">
            <v>Bengaluru</v>
          </cell>
          <cell r="G227">
            <v>0</v>
          </cell>
          <cell r="H227">
            <v>0</v>
          </cell>
          <cell r="I227" t="str">
            <v>NA</v>
          </cell>
          <cell r="M227" t="str">
            <v>On-site</v>
          </cell>
          <cell r="O227">
            <v>0</v>
          </cell>
          <cell r="P227">
            <v>0</v>
          </cell>
          <cell r="Q227">
            <v>0</v>
          </cell>
          <cell r="R227">
            <v>0</v>
          </cell>
          <cell r="S227">
            <v>1</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t="str">
            <v>Internship</v>
          </cell>
        </row>
        <row r="228">
          <cell r="A228">
            <v>227</v>
          </cell>
          <cell r="C228" t="str">
            <v>Naukri</v>
          </cell>
          <cell r="D228" t="str">
            <v>Data Engineer</v>
          </cell>
          <cell r="F228" t="str">
            <v>Mumbai</v>
          </cell>
          <cell r="G228">
            <v>0</v>
          </cell>
          <cell r="H228">
            <v>0</v>
          </cell>
          <cell r="I228" t="str">
            <v>NA</v>
          </cell>
          <cell r="M228" t="str">
            <v>On-site</v>
          </cell>
          <cell r="O228">
            <v>1</v>
          </cell>
          <cell r="P228">
            <v>1</v>
          </cell>
          <cell r="Q228">
            <v>0</v>
          </cell>
          <cell r="R228">
            <v>0</v>
          </cell>
          <cell r="S228">
            <v>0</v>
          </cell>
          <cell r="T228">
            <v>0</v>
          </cell>
          <cell r="U228">
            <v>1</v>
          </cell>
          <cell r="V228">
            <v>0</v>
          </cell>
          <cell r="W228">
            <v>0</v>
          </cell>
          <cell r="X228">
            <v>0</v>
          </cell>
          <cell r="Y228">
            <v>0</v>
          </cell>
          <cell r="Z228">
            <v>0</v>
          </cell>
          <cell r="AA228">
            <v>0</v>
          </cell>
          <cell r="AB228">
            <v>0</v>
          </cell>
          <cell r="AC228">
            <v>1</v>
          </cell>
          <cell r="AD228">
            <v>0</v>
          </cell>
          <cell r="AE228">
            <v>0</v>
          </cell>
          <cell r="AF228">
            <v>0</v>
          </cell>
          <cell r="AG228">
            <v>0</v>
          </cell>
          <cell r="AH228">
            <v>0</v>
          </cell>
          <cell r="AI228">
            <v>0</v>
          </cell>
          <cell r="AJ228">
            <v>1</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t="str">
            <v>Internship</v>
          </cell>
        </row>
        <row r="229">
          <cell r="A229">
            <v>228</v>
          </cell>
          <cell r="C229" t="str">
            <v>Naukri</v>
          </cell>
          <cell r="D229" t="str">
            <v>Data Engineer</v>
          </cell>
          <cell r="F229" t="str">
            <v>Chennai</v>
          </cell>
          <cell r="G229">
            <v>0</v>
          </cell>
          <cell r="H229">
            <v>0</v>
          </cell>
          <cell r="I229" t="str">
            <v>NA</v>
          </cell>
          <cell r="M229" t="str">
            <v>On-site</v>
          </cell>
          <cell r="O229">
            <v>1</v>
          </cell>
          <cell r="P229">
            <v>1</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t="str">
            <v>Internship</v>
          </cell>
        </row>
        <row r="230">
          <cell r="A230">
            <v>229</v>
          </cell>
          <cell r="C230" t="str">
            <v>Naukri</v>
          </cell>
          <cell r="D230" t="str">
            <v>MIS Analyst</v>
          </cell>
          <cell r="F230" t="str">
            <v>Bengaluru</v>
          </cell>
          <cell r="G230">
            <v>0</v>
          </cell>
          <cell r="H230">
            <v>0</v>
          </cell>
          <cell r="I230">
            <v>15000</v>
          </cell>
          <cell r="M230" t="str">
            <v>On-site</v>
          </cell>
          <cell r="O230">
            <v>0</v>
          </cell>
          <cell r="P230">
            <v>0</v>
          </cell>
          <cell r="Q230">
            <v>0</v>
          </cell>
          <cell r="R230">
            <v>0</v>
          </cell>
          <cell r="S230">
            <v>1</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1</v>
          </cell>
          <cell r="AL230">
            <v>0</v>
          </cell>
          <cell r="AM230">
            <v>0</v>
          </cell>
          <cell r="AN230">
            <v>1</v>
          </cell>
          <cell r="AO230">
            <v>0</v>
          </cell>
          <cell r="AP230">
            <v>0</v>
          </cell>
          <cell r="AQ230">
            <v>0</v>
          </cell>
          <cell r="AR230">
            <v>0</v>
          </cell>
          <cell r="AS230">
            <v>0</v>
          </cell>
          <cell r="AT230">
            <v>0</v>
          </cell>
          <cell r="AU230">
            <v>0</v>
          </cell>
          <cell r="AV230">
            <v>0</v>
          </cell>
          <cell r="AW230">
            <v>0</v>
          </cell>
          <cell r="AX230">
            <v>0</v>
          </cell>
          <cell r="AY230">
            <v>0</v>
          </cell>
          <cell r="AZ230" t="str">
            <v>Internship</v>
          </cell>
        </row>
        <row r="231">
          <cell r="A231">
            <v>230</v>
          </cell>
          <cell r="C231" t="str">
            <v>Naukri</v>
          </cell>
          <cell r="D231" t="str">
            <v>Data Analyst</v>
          </cell>
          <cell r="F231" t="str">
            <v>Chennai</v>
          </cell>
          <cell r="G231">
            <v>0</v>
          </cell>
          <cell r="H231">
            <v>0</v>
          </cell>
          <cell r="I231">
            <v>12000</v>
          </cell>
          <cell r="M231" t="str">
            <v>On-site</v>
          </cell>
          <cell r="O231">
            <v>1</v>
          </cell>
          <cell r="P231">
            <v>0</v>
          </cell>
          <cell r="Q231">
            <v>1</v>
          </cell>
          <cell r="R231">
            <v>0</v>
          </cell>
          <cell r="S231">
            <v>1</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t="str">
            <v>Internship</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abSelected="1" workbookViewId="0">
      <selection activeCell="B3" sqref="B3"/>
    </sheetView>
  </sheetViews>
  <sheetFormatPr defaultRowHeight="13.8"/>
  <cols>
    <col min="1" max="1" width="15" customWidth="1"/>
    <col min="2" max="2" width="13.69921875" customWidth="1"/>
    <col min="3" max="3" width="12.8984375" customWidth="1"/>
    <col min="4" max="4" width="13.8984375" customWidth="1"/>
    <col min="5" max="5" width="11.796875" customWidth="1"/>
    <col min="8" max="8" width="10.19921875" customWidth="1"/>
    <col min="14" max="14" width="12.59765625" customWidth="1"/>
    <col min="15" max="15" width="15.796875" customWidth="1"/>
    <col min="16" max="16" width="12.8984375" customWidth="1"/>
    <col min="17" max="17" width="15.19921875" customWidth="1"/>
    <col min="18" max="18" width="14" customWidth="1"/>
  </cols>
  <sheetData>
    <row r="1" spans="1:18">
      <c r="A1" s="1" t="s">
        <v>46</v>
      </c>
      <c r="B1" s="1" t="s">
        <v>47</v>
      </c>
      <c r="C1" s="1" t="s">
        <v>48</v>
      </c>
      <c r="D1" s="1" t="s">
        <v>49</v>
      </c>
      <c r="E1" s="1" t="s">
        <v>50</v>
      </c>
      <c r="F1" s="1" t="s">
        <v>14</v>
      </c>
      <c r="G1" s="1" t="s">
        <v>12</v>
      </c>
      <c r="H1" s="1" t="s">
        <v>5</v>
      </c>
      <c r="I1" s="1" t="s">
        <v>13</v>
      </c>
      <c r="J1" s="1" t="s">
        <v>6</v>
      </c>
      <c r="K1" s="1" t="s">
        <v>17</v>
      </c>
      <c r="L1" s="1" t="s">
        <v>16</v>
      </c>
      <c r="M1" s="1" t="s">
        <v>20</v>
      </c>
      <c r="N1" s="1" t="s">
        <v>51</v>
      </c>
      <c r="O1" s="1" t="s">
        <v>52</v>
      </c>
      <c r="P1" s="1" t="s">
        <v>53</v>
      </c>
      <c r="Q1" s="1" t="s">
        <v>54</v>
      </c>
      <c r="R1" s="1" t="s">
        <v>55</v>
      </c>
    </row>
    <row r="2" spans="1:18">
      <c r="A2" t="s">
        <v>25</v>
      </c>
      <c r="B2">
        <f>SUM([1]RAW_DATA!O:O)</f>
        <v>144</v>
      </c>
      <c r="C2" s="4">
        <f>B2/(COUNTA([1]RAW_DATA!A:A)-1)</f>
        <v>0.62608695652173918</v>
      </c>
      <c r="D2">
        <f>SUM([1]RAW_DATA!O:O)</f>
        <v>144</v>
      </c>
      <c r="E2">
        <f>SUMIF([1]RAW_DATA!$F:$F,"Bengaluru",[1]RAW_DATA!O:O)</f>
        <v>55</v>
      </c>
      <c r="F2">
        <f>SUMIF([1]RAW_DATA!$F:$F,"Gurgaon",[1]RAW_DATA!O:O)</f>
        <v>24</v>
      </c>
      <c r="G2">
        <f>SUMIF([1]RAW_DATA!$F:$F,"Noida",[1]RAW_DATA!O:O)</f>
        <v>7</v>
      </c>
      <c r="H2">
        <f>SUMIF([1]RAW_DATA!$F:$F,"Hyderabad",[1]RAW_DATA!O:O)</f>
        <v>18</v>
      </c>
      <c r="I2">
        <f>SUMIF([1]RAW_DATA!$F:$F,"Pune",[1]RAW_DATA!O:O)</f>
        <v>9</v>
      </c>
      <c r="J2">
        <f>SUMIF([1]RAW_DATA!$F:$F,"Mumbai",[1]RAW_DATA!O:O)</f>
        <v>9</v>
      </c>
      <c r="K2">
        <f>SUMIF([1]RAW_DATA!$F:$F,"Delhi",[1]RAW_DATA!O:O)</f>
        <v>5</v>
      </c>
      <c r="L2">
        <f>SUMIF([1]RAW_DATA!$F:$F,"Chennai",[1]RAW_DATA!O:O)</f>
        <v>9</v>
      </c>
      <c r="M2">
        <f>SUMIF([1]RAW_DATA!$F:$F,"Remote",[1]RAW_DATA!O:O)</f>
        <v>8</v>
      </c>
      <c r="N2">
        <f>SUMIF([1]RAW_DATA!$D:$D,"Data Analyst",[1]RAW_DATA!O:O)</f>
        <v>50</v>
      </c>
      <c r="O2">
        <f>SUMIF([1]RAW_DATA!$D:$D,"Business Analyst",[1]RAW_DATA!O:O)</f>
        <v>23</v>
      </c>
      <c r="P2">
        <f>SUMIF([1]RAW_DATA!$D:$D,"Data Engineer",[1]RAW_DATA!O:O)</f>
        <v>46</v>
      </c>
      <c r="Q2">
        <f>SUMIF([1]RAW_DATA!$D:$D,"BI Developer",[1]RAW_DATA!O:O)</f>
        <v>18</v>
      </c>
      <c r="R2">
        <f>SUMIF([1]RAW_DATA!$D:$D,"MIS Analyst",[1]RAW_DATA!O:O)</f>
        <v>6</v>
      </c>
    </row>
    <row r="3" spans="1:18">
      <c r="A3" t="s">
        <v>19</v>
      </c>
      <c r="B3">
        <f>SUM([1]RAW_DATA!P:P)</f>
        <v>80</v>
      </c>
      <c r="C3" s="4">
        <f>B3/(COUNTA([1]RAW_DATA!A:A)-1)</f>
        <v>0.34782608695652173</v>
      </c>
      <c r="D3">
        <f>SUM([1]RAW_DATA!P:P)</f>
        <v>80</v>
      </c>
      <c r="E3">
        <f>SUMIF([1]RAW_DATA!$F:$F,"Bengaluru",[1]RAW_DATA!S:S)</f>
        <v>27</v>
      </c>
      <c r="F3">
        <f>SUMIF([1]RAW_DATA!$F:$F,"Gurgaon",[1]RAW_DATA!P:P)</f>
        <v>16</v>
      </c>
      <c r="G3">
        <f>SUMIF([1]RAW_DATA!$F:$F,"Noida",[1]RAW_DATA!S:S)</f>
        <v>5</v>
      </c>
      <c r="H3">
        <f>SUMIF([1]RAW_DATA!$F:$F,"Hyderabad",[1]RAW_DATA!P:P)</f>
        <v>11</v>
      </c>
      <c r="I3">
        <f>SUMIF([1]RAW_DATA!$F:$F,"Pune",[1]RAW_DATA!P:P)</f>
        <v>8</v>
      </c>
      <c r="J3">
        <f>SUMIF([1]RAW_DATA!$F:$F,"Mumbai",[1]RAW_DATA!P:P)</f>
        <v>7</v>
      </c>
      <c r="K3">
        <f>SUMIF([1]RAW_DATA!$F:$F,"Delhi",[1]RAW_DATA!S:S)</f>
        <v>4</v>
      </c>
      <c r="L3">
        <f>SUMIF([1]RAW_DATA!$F:$F,"Chennai",[1]RAW_DATA!P:P)</f>
        <v>3</v>
      </c>
      <c r="M3">
        <f>SUMIF([1]RAW_DATA!$F:$F,"Remote",[1]RAW_DATA!P:P)</f>
        <v>4</v>
      </c>
      <c r="N3">
        <f>SUMIF([1]RAW_DATA!$D:$D,"Data Analyst",[1]RAW_DATA!P:P)</f>
        <v>29</v>
      </c>
      <c r="O3">
        <f>SUMIF([1]RAW_DATA!$D:$D,"Business Analyst",[1]RAW_DATA!P:P)</f>
        <v>5</v>
      </c>
      <c r="P3">
        <f>SUMIF([1]RAW_DATA!$D:$D,"Data Engineer",[1]RAW_DATA!P:P)</f>
        <v>42</v>
      </c>
      <c r="Q3">
        <f>SUMIF([1]RAW_DATA!$D:$D,"BI Developer",[1]RAW_DATA!P:P)</f>
        <v>3</v>
      </c>
      <c r="R3">
        <f>SUMIF([1]RAW_DATA!$D:$D,"MIS Analyst",[1]RAW_DATA!P:P)</f>
        <v>1</v>
      </c>
    </row>
    <row r="4" spans="1:18">
      <c r="A4" t="s">
        <v>26</v>
      </c>
      <c r="B4">
        <f>SUM([1]RAW_DATA!Q:Q)</f>
        <v>63</v>
      </c>
      <c r="C4" s="4">
        <f>B4/(COUNTA([1]RAW_DATA!A:A)-1)</f>
        <v>0.27391304347826084</v>
      </c>
      <c r="D4">
        <f>SUM([1]RAW_DATA!Q:Q)</f>
        <v>63</v>
      </c>
      <c r="E4">
        <f>SUMIF([1]RAW_DATA!$F:$F,"Bengaluru",[1]RAW_DATA!Q:Q)</f>
        <v>25</v>
      </c>
      <c r="F4">
        <f>SUMIF([1]RAW_DATA!$F:$F,"Gurgaon",[1]RAW_DATA!S:S)</f>
        <v>14</v>
      </c>
      <c r="G4">
        <f>SUMIF([1]RAW_DATA!$F:$F,"Noida",[1]RAW_DATA!P:P)</f>
        <v>4</v>
      </c>
      <c r="H4">
        <f>SUMIF([1]RAW_DATA!$F:$F,"Hyderabad",[1]RAW_DATA!Q:Q)</f>
        <v>8</v>
      </c>
      <c r="I4">
        <f>SUMIF([1]RAW_DATA!$F:$F,"Pune",[1]RAW_DATA!Q:Q)</f>
        <v>3</v>
      </c>
      <c r="J4">
        <f>SUMIF([1]RAW_DATA!$F:$F,"Mumbai",[1]RAW_DATA!Q:Q)</f>
        <v>7</v>
      </c>
      <c r="K4">
        <f>SUMIF([1]RAW_DATA!$F:$F,"Delhi",[1]RAW_DATA!P:P)</f>
        <v>3</v>
      </c>
      <c r="L4">
        <f>SUMIF([1]RAW_DATA!$F:$F,"Chennai",[1]RAW_DATA!Q:Q)</f>
        <v>6</v>
      </c>
      <c r="M4">
        <f>SUMIF([1]RAW_DATA!$F:$F,"Remote",[1]RAW_DATA!Q:Q)</f>
        <v>4</v>
      </c>
      <c r="N4">
        <f>SUMIF([1]RAW_DATA!$D:$D,"Data Analyst",[1]RAW_DATA!Q:Q)</f>
        <v>30</v>
      </c>
      <c r="O4">
        <f>SUMIF([1]RAW_DATA!$D:$D,"Business Analyst",[1]RAW_DATA!Q:Q)</f>
        <v>8</v>
      </c>
      <c r="P4">
        <f>SUMIF([1]RAW_DATA!$D:$D,"Data Engineer",[1]RAW_DATA!Q:Q)</f>
        <v>6</v>
      </c>
      <c r="Q4">
        <f>SUMIF([1]RAW_DATA!$D:$D,"BI Developer",[1]RAW_DATA!Q:Q)</f>
        <v>15</v>
      </c>
      <c r="R4">
        <f>SUMIF([1]RAW_DATA!$D:$D,"MIS Analyst",[1]RAW_DATA!Q:Q)</f>
        <v>4</v>
      </c>
    </row>
    <row r="5" spans="1:18">
      <c r="A5" t="s">
        <v>27</v>
      </c>
      <c r="B5">
        <f>SUM([1]RAW_DATA!R:R)</f>
        <v>29</v>
      </c>
      <c r="C5" s="4">
        <f>B5/(COUNTA([1]RAW_DATA!A:A)-1)</f>
        <v>0.12608695652173912</v>
      </c>
      <c r="D5">
        <f>SUM([1]RAW_DATA!R:R)</f>
        <v>29</v>
      </c>
      <c r="E5">
        <f>SUMIF([1]RAW_DATA!$F:$F,"Bengaluru",[1]RAW_DATA!P:P)</f>
        <v>24</v>
      </c>
      <c r="F5">
        <f>SUMIF([1]RAW_DATA!$F:$F,"Gurgaon",[1]RAW_DATA!AA:AA)</f>
        <v>9</v>
      </c>
      <c r="G5">
        <f>SUMIF([1]RAW_DATA!$F:$F,"Noida",[1]RAW_DATA!R:R)</f>
        <v>2</v>
      </c>
      <c r="H5">
        <f>SUMIF([1]RAW_DATA!$F:$F,"Hyderabad",[1]RAW_DATA!R:R)</f>
        <v>2</v>
      </c>
      <c r="I5">
        <f>SUMIF([1]RAW_DATA!$F:$F,"Pune",[1]RAW_DATA!R:R)</f>
        <v>2</v>
      </c>
      <c r="J5">
        <f>SUMIF([1]RAW_DATA!$F:$F,"Mumbai",[1]RAW_DATA!R:R)</f>
        <v>2</v>
      </c>
      <c r="K5">
        <f>SUMIF([1]RAW_DATA!$F:$F,"Delhi",[1]RAW_DATA!AC:AC)</f>
        <v>3</v>
      </c>
      <c r="L5">
        <f>SUMIF([1]RAW_DATA!$F:$F,"Chennai",[1]RAW_DATA!R:R)</f>
        <v>2</v>
      </c>
      <c r="M5">
        <f>SUMIF([1]RAW_DATA!$F:$F,"Remote",[1]RAW_DATA!R:R)</f>
        <v>3</v>
      </c>
      <c r="N5">
        <f>SUMIF([1]RAW_DATA!$D:$D,"Data Analyst",[1]RAW_DATA!R:R)</f>
        <v>18</v>
      </c>
      <c r="O5">
        <f>SUMIF([1]RAW_DATA!$D:$D,"Business Analyst",[1]RAW_DATA!R:R)</f>
        <v>3</v>
      </c>
      <c r="P5">
        <f>SUMIF([1]RAW_DATA!$D:$D,"Data Engineer",[1]RAW_DATA!R:R)</f>
        <v>1</v>
      </c>
      <c r="Q5">
        <f>SUMIF([1]RAW_DATA!$D:$D,"BI Developer",[1]RAW_DATA!R:R)</f>
        <v>3</v>
      </c>
      <c r="R5">
        <f>SUMIF([1]RAW_DATA!$D:$D,"MIS Analyst",[1]RAW_DATA!R:R)</f>
        <v>4</v>
      </c>
    </row>
    <row r="6" spans="1:18">
      <c r="A6" t="s">
        <v>21</v>
      </c>
      <c r="B6">
        <f>SUM([1]RAW_DATA!S:S)</f>
        <v>86</v>
      </c>
      <c r="C6" s="4">
        <f>B6/(COUNTA([1]RAW_DATA!A:A)-1)</f>
        <v>0.37391304347826088</v>
      </c>
      <c r="D6">
        <f>SUM([1]RAW_DATA!S:S)</f>
        <v>86</v>
      </c>
      <c r="E6">
        <f>SUMIF([1]RAW_DATA!$F:$F,"Bengaluru",[1]RAW_DATA!AC:AC)</f>
        <v>15</v>
      </c>
      <c r="F6">
        <f>SUMIF([1]RAW_DATA!$F:$F,"Gurgaon",[1]RAW_DATA!Q:Q)</f>
        <v>7</v>
      </c>
      <c r="G6">
        <f>SUMIF([1]RAW_DATA!$F:$F,"Noida",[1]RAW_DATA!AA:AA)</f>
        <v>2</v>
      </c>
      <c r="H6">
        <f>SUMIF([1]RAW_DATA!$F:$F,"Hyderabad",[1]RAW_DATA!S:S)</f>
        <v>8</v>
      </c>
      <c r="I6">
        <f>SUMIF([1]RAW_DATA!$F:$F,"Pune",[1]RAW_DATA!S:S)</f>
        <v>8</v>
      </c>
      <c r="J6">
        <f>SUMIF([1]RAW_DATA!$F:$F,"Mumbai",[1]RAW_DATA!S:S)</f>
        <v>10</v>
      </c>
      <c r="K6">
        <f>SUMIF([1]RAW_DATA!$F:$F,"Delhi",[1]RAW_DATA!Q:Q)</f>
        <v>2</v>
      </c>
      <c r="L6">
        <f>SUMIF([1]RAW_DATA!$F:$F,"Chennai",[1]RAW_DATA!S:S)</f>
        <v>4</v>
      </c>
      <c r="M6">
        <f>SUMIF([1]RAW_DATA!$F:$F,"Remote",[1]RAW_DATA!S:S)</f>
        <v>6</v>
      </c>
      <c r="N6">
        <f>SUMIF([1]RAW_DATA!$D:$D,"Data Analyst",[1]RAW_DATA!S:S)</f>
        <v>37</v>
      </c>
      <c r="O6">
        <f>SUMIF([1]RAW_DATA!$D:$D,"Business Analyst",[1]RAW_DATA!S:S)</f>
        <v>28</v>
      </c>
      <c r="P6">
        <f>SUMIF([1]RAW_DATA!$D:$D,"Data Engineer",[1]RAW_DATA!S:S)</f>
        <v>0</v>
      </c>
      <c r="Q6">
        <f>SUMIF([1]RAW_DATA!$D:$D,"BI Developer",[1]RAW_DATA!S:S)</f>
        <v>2</v>
      </c>
      <c r="R6">
        <f>SUMIF([1]RAW_DATA!$D:$D,"MIS Analyst",[1]RAW_DATA!S:S)</f>
        <v>19</v>
      </c>
    </row>
    <row r="7" spans="1:18">
      <c r="A7" t="s">
        <v>28</v>
      </c>
      <c r="B7">
        <f>SUM([1]RAW_DATA!T:T)</f>
        <v>8</v>
      </c>
      <c r="C7" s="4">
        <f>B7/(COUNTA([1]RAW_DATA!A:A)-1)</f>
        <v>3.4782608695652174E-2</v>
      </c>
      <c r="D7">
        <f>SUM([1]RAW_DATA!T:T)</f>
        <v>8</v>
      </c>
      <c r="E7">
        <f>SUMIF([1]RAW_DATA!$F:$F,"Bengaluru",[1]RAW_DATA!U:U)</f>
        <v>11</v>
      </c>
      <c r="F7">
        <f>SUMIF([1]RAW_DATA!$F:$F,"Gurgaon",[1]RAW_DATA!R:R)</f>
        <v>7</v>
      </c>
      <c r="G7">
        <f>SUMIF([1]RAW_DATA!$F:$F,"Noida",[1]RAW_DATA!AC:AC)</f>
        <v>2</v>
      </c>
      <c r="H7">
        <f>SUMIF([1]RAW_DATA!$F:$F,"Hyderabad",[1]RAW_DATA!T:T)</f>
        <v>0</v>
      </c>
      <c r="I7">
        <f>SUMIF([1]RAW_DATA!$F:$F,"Pune",[1]RAW_DATA!T:T)</f>
        <v>1</v>
      </c>
      <c r="J7">
        <f>SUMIF([1]RAW_DATA!$F:$F,"Mumbai",[1]RAW_DATA!T:T)</f>
        <v>2</v>
      </c>
      <c r="K7">
        <f>SUMIF([1]RAW_DATA!$F:$F,"Delhi",[1]RAW_DATA!U:U)</f>
        <v>2</v>
      </c>
      <c r="L7">
        <f>SUMIF([1]RAW_DATA!$F:$F,"Chennai",[1]RAW_DATA!T:T)</f>
        <v>1</v>
      </c>
      <c r="M7">
        <f>SUMIF([1]RAW_DATA!$F:$F,"Remote",[1]RAW_DATA!T:T)</f>
        <v>0</v>
      </c>
      <c r="N7">
        <f>SUMIF([1]RAW_DATA!$D:$D,"Data Analyst",[1]RAW_DATA!T:T)</f>
        <v>7</v>
      </c>
      <c r="O7">
        <f>SUMIF([1]RAW_DATA!$D:$D,"Business Analyst",[1]RAW_DATA!T:T)</f>
        <v>1</v>
      </c>
      <c r="P7">
        <f>SUMIF([1]RAW_DATA!$D:$D,"Data Engineer",[1]RAW_DATA!T:T)</f>
        <v>0</v>
      </c>
      <c r="Q7">
        <f>SUMIF([1]RAW_DATA!$D:$D,"BI Developer",[1]RAW_DATA!T:T)</f>
        <v>0</v>
      </c>
      <c r="R7">
        <f>SUMIF([1]RAW_DATA!$D:$D,"MIS Analyst",[1]RAW_DATA!T:T)</f>
        <v>0</v>
      </c>
    </row>
    <row r="8" spans="1:18">
      <c r="A8" t="s">
        <v>29</v>
      </c>
      <c r="B8">
        <f>SUM([1]RAW_DATA!U:U)</f>
        <v>28</v>
      </c>
      <c r="C8" s="4">
        <f>B8/(COUNTA([1]RAW_DATA!A:A)-1)</f>
        <v>0.12173913043478261</v>
      </c>
      <c r="D8">
        <f>SUM([1]RAW_DATA!U:U)</f>
        <v>28</v>
      </c>
      <c r="E8">
        <f>SUMIF([1]RAW_DATA!$F:$F,"Bengaluru",[1]RAW_DATA!R:R)</f>
        <v>9</v>
      </c>
      <c r="F8">
        <f>SUMIF([1]RAW_DATA!$F:$F,"Gurgaon",[1]RAW_DATA!AC:AC)</f>
        <v>6</v>
      </c>
      <c r="G8">
        <f>SUMIF([1]RAW_DATA!$F:$F,"Noida",[1]RAW_DATA!Q:Q)</f>
        <v>1</v>
      </c>
      <c r="H8">
        <f>SUMIF([1]RAW_DATA!$F:$F,"Hyderabad",[1]RAW_DATA!U:U)</f>
        <v>3</v>
      </c>
      <c r="I8">
        <f>SUMIF([1]RAW_DATA!$F:$F,"Pune",[1]RAW_DATA!U:U)</f>
        <v>4</v>
      </c>
      <c r="J8">
        <f>SUMIF([1]RAW_DATA!$F:$F,"Mumbai",[1]RAW_DATA!U:U)</f>
        <v>4</v>
      </c>
      <c r="K8">
        <f>SUMIF([1]RAW_DATA!$F:$F,"Delhi",[1]RAW_DATA!AA:AA)</f>
        <v>2</v>
      </c>
      <c r="L8">
        <f>SUMIF([1]RAW_DATA!$F:$F,"Chennai",[1]RAW_DATA!U:U)</f>
        <v>0</v>
      </c>
      <c r="M8">
        <f>SUMIF([1]RAW_DATA!$F:$F,"Remote",[1]RAW_DATA!U:U)</f>
        <v>1</v>
      </c>
      <c r="N8">
        <f>SUMIF([1]RAW_DATA!$D:$D,"Data Analyst",[1]RAW_DATA!U:U)</f>
        <v>3</v>
      </c>
      <c r="O8">
        <f>SUMIF([1]RAW_DATA!$D:$D,"Business Analyst",[1]RAW_DATA!U:U)</f>
        <v>1</v>
      </c>
      <c r="P8">
        <f>SUMIF([1]RAW_DATA!$D:$D,"Data Engineer",[1]RAW_DATA!U:U)</f>
        <v>23</v>
      </c>
      <c r="Q8">
        <f>SUMIF([1]RAW_DATA!$D:$D,"BI Developer",[1]RAW_DATA!U:U)</f>
        <v>1</v>
      </c>
      <c r="R8">
        <f>SUMIF([1]RAW_DATA!$D:$D,"MIS Analyst",[1]RAW_DATA!U:U)</f>
        <v>0</v>
      </c>
    </row>
    <row r="9" spans="1:18">
      <c r="A9" t="s">
        <v>30</v>
      </c>
      <c r="B9">
        <f>SUM([1]RAW_DATA!V:V)</f>
        <v>9</v>
      </c>
      <c r="C9" s="4">
        <f>B9/(COUNTA([1]RAW_DATA!A:A)-1)</f>
        <v>3.9130434782608699E-2</v>
      </c>
      <c r="D9">
        <f>SUM([1]RAW_DATA!V:V)</f>
        <v>9</v>
      </c>
      <c r="E9">
        <f>SUMIF([1]RAW_DATA!$F:$F,"Bengaluru",[1]RAW_DATA!X:X)</f>
        <v>9</v>
      </c>
      <c r="F9">
        <f>SUMIF([1]RAW_DATA!$F:$F,"Gurgaon",[1]RAW_DATA!AD:AD)</f>
        <v>4</v>
      </c>
      <c r="G9">
        <f>SUMIF([1]RAW_DATA!$F:$F,"Noida",[1]RAW_DATA!T:T)</f>
        <v>1</v>
      </c>
      <c r="H9">
        <f>SUMIF([1]RAW_DATA!$F:$F,"Hyderabad",[1]RAW_DATA!V:V)</f>
        <v>1</v>
      </c>
      <c r="I9">
        <f>SUMIF([1]RAW_DATA!$F:$F,"Pune",[1]RAW_DATA!V:V)</f>
        <v>0</v>
      </c>
      <c r="J9">
        <f>SUMIF([1]RAW_DATA!$F:$F,"Mumbai",[1]RAW_DATA!V:V)</f>
        <v>2</v>
      </c>
      <c r="K9">
        <f>SUMIF([1]RAW_DATA!$F:$F,"Delhi",[1]RAW_DATA!AK:AK)</f>
        <v>2</v>
      </c>
      <c r="L9">
        <f>SUMIF([1]RAW_DATA!$F:$F,"Chennai",[1]RAW_DATA!V:V)</f>
        <v>0</v>
      </c>
      <c r="M9">
        <f>SUMIF([1]RAW_DATA!$F:$F,"Remote",[1]RAW_DATA!V:V)</f>
        <v>0</v>
      </c>
      <c r="N9">
        <f>SUMIF([1]RAW_DATA!$D:$D,"Data Analyst",[1]RAW_DATA!V:V)</f>
        <v>2</v>
      </c>
      <c r="O9">
        <f>SUMIF([1]RAW_DATA!$D:$D,"Business Analyst",[1]RAW_DATA!V:V)</f>
        <v>0</v>
      </c>
      <c r="P9">
        <f>SUMIF([1]RAW_DATA!$D:$D,"Data Engineer",[1]RAW_DATA!V:V)</f>
        <v>5</v>
      </c>
      <c r="Q9">
        <f>SUMIF([1]RAW_DATA!$D:$D,"BI Developer",[1]RAW_DATA!V:V)</f>
        <v>1</v>
      </c>
      <c r="R9">
        <f>SUMIF([1]RAW_DATA!$D:$D,"MIS Analyst",[1]RAW_DATA!V:V)</f>
        <v>0</v>
      </c>
    </row>
    <row r="10" spans="1:18">
      <c r="A10" t="s">
        <v>56</v>
      </c>
      <c r="B10">
        <f>SUM([1]RAW_DATA!W:W)</f>
        <v>7</v>
      </c>
      <c r="C10" s="4">
        <f>B10/(COUNTA([1]RAW_DATA!A:A)-1)</f>
        <v>3.0434782608695653E-2</v>
      </c>
      <c r="D10">
        <f>SUM([1]RAW_DATA!W:W)</f>
        <v>7</v>
      </c>
      <c r="E10">
        <f>SUMIF([1]RAW_DATA!$F:$F,"Bengaluru",[1]RAW_DATA!AA:AA)</f>
        <v>9</v>
      </c>
      <c r="F10">
        <f>SUMIF([1]RAW_DATA!$F:$F,"Gurgaon",[1]RAW_DATA!AL:AL)</f>
        <v>3</v>
      </c>
      <c r="G10">
        <f>SUMIF([1]RAW_DATA!$F:$F,"Noida",[1]RAW_DATA!U:U)</f>
        <v>1</v>
      </c>
      <c r="H10">
        <f>SUMIF([1]RAW_DATA!$F:$F,"Hyderabad",[1]RAW_DATA!W:W)</f>
        <v>1</v>
      </c>
      <c r="I10">
        <f>SUMIF([1]RAW_DATA!$F:$F,"Pune",[1]RAW_DATA!W:W)</f>
        <v>0</v>
      </c>
      <c r="J10">
        <f>SUMIF([1]RAW_DATA!$F:$F,"Mumbai",[1]RAW_DATA!W:W)</f>
        <v>0</v>
      </c>
      <c r="K10">
        <f>SUMIF([1]RAW_DATA!$F:$F,"Delhi",[1]RAW_DATA!W:W)</f>
        <v>1</v>
      </c>
      <c r="L10">
        <f>SUMIF([1]RAW_DATA!$F:$F,"Chennai",[1]RAW_DATA!W:W)</f>
        <v>1</v>
      </c>
      <c r="M10">
        <f>SUMIF([1]RAW_DATA!$F:$F,"Remote",[1]RAW_DATA!W:W)</f>
        <v>0</v>
      </c>
      <c r="N10">
        <f>SUMIF([1]RAW_DATA!$D:$D,"Data Analyst",[1]RAW_DATA!W:W)</f>
        <v>1</v>
      </c>
      <c r="O10">
        <f>SUMIF([1]RAW_DATA!$D:$D,"Business Analyst",[1]RAW_DATA!W:W)</f>
        <v>0</v>
      </c>
      <c r="P10">
        <f>SUMIF([1]RAW_DATA!$D:$D,"Data Engineer",[1]RAW_DATA!W:W)</f>
        <v>5</v>
      </c>
      <c r="Q10">
        <f>SUMIF([1]RAW_DATA!$D:$D,"BI Developer",[1]RAW_DATA!W:W)</f>
        <v>0</v>
      </c>
      <c r="R10">
        <f>SUMIF([1]RAW_DATA!$D:$D,"MIS Analyst",[1]RAW_DATA!W:W)</f>
        <v>0</v>
      </c>
    </row>
    <row r="11" spans="1:18">
      <c r="A11" t="s">
        <v>31</v>
      </c>
      <c r="B11">
        <f>SUM([1]RAW_DATA!X:X)</f>
        <v>11</v>
      </c>
      <c r="C11" s="4">
        <f>B11/(COUNTA([1]RAW_DATA!A:A)-1)</f>
        <v>4.7826086956521741E-2</v>
      </c>
      <c r="D11">
        <f>SUM([1]RAW_DATA!X:X)</f>
        <v>11</v>
      </c>
      <c r="E11">
        <f>SUMIF([1]RAW_DATA!$F:$F,"Bengaluru",[1]RAW_DATA!AD:AD)</f>
        <v>8</v>
      </c>
      <c r="F11">
        <f>SUMIF([1]RAW_DATA!$F:$F,"Gurgaon",[1]RAW_DATA!U:U)</f>
        <v>2</v>
      </c>
      <c r="G11">
        <f>SUMIF([1]RAW_DATA!$F:$F,"Noida",[1]RAW_DATA!V:V)</f>
        <v>1</v>
      </c>
      <c r="H11">
        <f>SUMIF([1]RAW_DATA!$F:$F,"Hyderabad",[1]RAW_DATA!X:X)</f>
        <v>1</v>
      </c>
      <c r="I11">
        <f>SUMIF([1]RAW_DATA!$F:$F,"Pune",[1]RAW_DATA!X:X)</f>
        <v>0</v>
      </c>
      <c r="J11">
        <f>SUMIF([1]RAW_DATA!$F:$F,"Mumbai",[1]RAW_DATA!X:X)</f>
        <v>0</v>
      </c>
      <c r="K11">
        <f>SUMIF([1]RAW_DATA!$F:$F,"Delhi",[1]RAW_DATA!X:X)</f>
        <v>1</v>
      </c>
      <c r="L11">
        <f>SUMIF([1]RAW_DATA!$F:$F,"Chennai",[1]RAW_DATA!X:X)</f>
        <v>0</v>
      </c>
      <c r="M11">
        <f>SUMIF([1]RAW_DATA!$F:$F,"Remote",[1]RAW_DATA!X:X)</f>
        <v>0</v>
      </c>
      <c r="N11">
        <f>SUMIF([1]RAW_DATA!$D:$D,"Data Analyst",[1]RAW_DATA!X:X)</f>
        <v>2</v>
      </c>
      <c r="O11">
        <f>SUMIF([1]RAW_DATA!$D:$D,"Business Analyst",[1]RAW_DATA!X:X)</f>
        <v>0</v>
      </c>
      <c r="P11">
        <f>SUMIF([1]RAW_DATA!$D:$D,"Data Engineer",[1]RAW_DATA!X:X)</f>
        <v>4</v>
      </c>
      <c r="Q11">
        <f>SUMIF([1]RAW_DATA!$D:$D,"BI Developer",[1]RAW_DATA!X:X)</f>
        <v>4</v>
      </c>
      <c r="R11">
        <f>SUMIF([1]RAW_DATA!$D:$D,"MIS Analyst",[1]RAW_DATA!X:X)</f>
        <v>0</v>
      </c>
    </row>
    <row r="12" spans="1:18">
      <c r="A12" t="s">
        <v>32</v>
      </c>
      <c r="B12">
        <f>SUM([1]RAW_DATA!Y:Y)</f>
        <v>5</v>
      </c>
      <c r="C12" s="4">
        <f>B12/(COUNTA([1]RAW_DATA!A:A)-1)</f>
        <v>2.1739130434782608E-2</v>
      </c>
      <c r="D12">
        <f>SUM([1]RAW_DATA!Y:Y)</f>
        <v>5</v>
      </c>
      <c r="E12">
        <f>SUMIF([1]RAW_DATA!$F:$F,"Bengaluru",[1]RAW_DATA!AJ:AJ)</f>
        <v>5</v>
      </c>
      <c r="F12">
        <f>SUMIF([1]RAW_DATA!$F:$F,"Gurgaon",[1]RAW_DATA!V:V)</f>
        <v>2</v>
      </c>
      <c r="G12">
        <f>SUMIF([1]RAW_DATA!$F:$F,"Noida",[1]RAW_DATA!AG:AG)</f>
        <v>1</v>
      </c>
      <c r="H12">
        <f>SUMIF([1]RAW_DATA!$F:$F,"Hyderabad",[1]RAW_DATA!Y:Y)</f>
        <v>0</v>
      </c>
      <c r="I12">
        <f>SUMIF([1]RAW_DATA!$F:$F,"Pune",[1]RAW_DATA!Y:Y)</f>
        <v>0</v>
      </c>
      <c r="J12">
        <f>SUMIF([1]RAW_DATA!$F:$F,"Mumbai",[1]RAW_DATA!Y:Y)</f>
        <v>0</v>
      </c>
      <c r="K12">
        <f>SUMIF([1]RAW_DATA!$F:$F,"Delhi",[1]RAW_DATA!AB:AB)</f>
        <v>1</v>
      </c>
      <c r="L12">
        <f>SUMIF([1]RAW_DATA!$F:$F,"Chennai",[1]RAW_DATA!Y:Y)</f>
        <v>0</v>
      </c>
      <c r="M12">
        <f>SUMIF([1]RAW_DATA!$F:$F,"Remote",[1]RAW_DATA!Y:Y)</f>
        <v>2</v>
      </c>
      <c r="N12">
        <f>SUMIF([1]RAW_DATA!$D:$D,"Data Analyst",[1]RAW_DATA!Y:Y)</f>
        <v>4</v>
      </c>
      <c r="O12">
        <f>SUMIF([1]RAW_DATA!$D:$D,"Business Analyst",[1]RAW_DATA!Y:Y)</f>
        <v>0</v>
      </c>
      <c r="P12">
        <f>SUMIF([1]RAW_DATA!$D:$D,"Data Engineer",[1]RAW_DATA!Y:Y)</f>
        <v>1</v>
      </c>
      <c r="Q12">
        <f>SUMIF([1]RAW_DATA!$D:$D,"BI Developer",[1]RAW_DATA!Y:Y)</f>
        <v>0</v>
      </c>
      <c r="R12">
        <f>SUMIF([1]RAW_DATA!$D:$D,"MIS Analyst",[1]RAW_DATA!Y:Y)</f>
        <v>0</v>
      </c>
    </row>
    <row r="13" spans="1:18">
      <c r="A13" t="s">
        <v>33</v>
      </c>
      <c r="B13">
        <f>SUM([1]RAW_DATA!Z:Z)</f>
        <v>3</v>
      </c>
      <c r="C13" s="4">
        <f>B13/(COUNTA([1]RAW_DATA!A:A)-1)</f>
        <v>1.3043478260869565E-2</v>
      </c>
      <c r="D13">
        <f>SUM([1]RAW_DATA!Z:Z)</f>
        <v>3</v>
      </c>
      <c r="E13">
        <f>SUMIF([1]RAW_DATA!$F:$F,"Bengaluru",[1]RAW_DATA!AK:AK)</f>
        <v>5</v>
      </c>
      <c r="F13">
        <f>SUMIF([1]RAW_DATA!$F:$F,"Gurgaon",[1]RAW_DATA!W:W)</f>
        <v>2</v>
      </c>
      <c r="G13">
        <f>SUMIF([1]RAW_DATA!$F:$F,"Noida",[1]RAW_DATA!AI:AI)</f>
        <v>1</v>
      </c>
      <c r="H13">
        <f>SUMIF([1]RAW_DATA!$F:$F,"Hyderabad",[1]RAW_DATA!Z:Z)</f>
        <v>0</v>
      </c>
      <c r="I13">
        <f>SUMIF([1]RAW_DATA!$F:$F,"Pune",[1]RAW_DATA!Z:Z)</f>
        <v>0</v>
      </c>
      <c r="J13">
        <f>SUMIF([1]RAW_DATA!$F:$F,"Mumbai",[1]RAW_DATA!Z:Z)</f>
        <v>0</v>
      </c>
      <c r="K13">
        <f>SUMIF([1]RAW_DATA!$F:$F,"Delhi",[1]RAW_DATA!AJ:AJ)</f>
        <v>1</v>
      </c>
      <c r="L13">
        <f>SUMIF([1]RAW_DATA!$F:$F,"Chennai",[1]RAW_DATA!Z:Z)</f>
        <v>0</v>
      </c>
      <c r="M13">
        <f>SUMIF([1]RAW_DATA!$F:$F,"Remote",[1]RAW_DATA!Z:Z)</f>
        <v>0</v>
      </c>
      <c r="N13">
        <f>SUMIF([1]RAW_DATA!$D:$D,"Data Analyst",[1]RAW_DATA!Z:Z)</f>
        <v>3</v>
      </c>
      <c r="O13">
        <f>SUMIF([1]RAW_DATA!$D:$D,"Business Analyst",[1]RAW_DATA!Z:Z)</f>
        <v>0</v>
      </c>
      <c r="P13">
        <f>SUMIF([1]RAW_DATA!$D:$D,"Data Engineer",[1]RAW_DATA!Z:Z)</f>
        <v>0</v>
      </c>
      <c r="Q13">
        <f>SUMIF([1]RAW_DATA!$D:$D,"BI Developer",[1]RAW_DATA!Z:Z)</f>
        <v>0</v>
      </c>
      <c r="R13">
        <f>SUMIF([1]RAW_DATA!$D:$D,"MIS Analyst",[1]RAW_DATA!Z:Z)</f>
        <v>0</v>
      </c>
    </row>
    <row r="14" spans="1:18">
      <c r="A14" t="s">
        <v>34</v>
      </c>
      <c r="B14">
        <f>SUM([1]RAW_DATA!AA:AA)</f>
        <v>32</v>
      </c>
      <c r="C14" s="4">
        <f>B14/(COUNTA([1]RAW_DATA!A:A)-1)</f>
        <v>0.1391304347826087</v>
      </c>
      <c r="D14">
        <f>SUM([1]RAW_DATA!AA:AA)</f>
        <v>32</v>
      </c>
      <c r="E14">
        <f>SUMIF([1]RAW_DATA!$F:$F,"Bengaluru",[1]RAW_DATA!AE:AE)</f>
        <v>4</v>
      </c>
      <c r="F14">
        <f>SUMIF([1]RAW_DATA!$F:$F,"Gurgaon",[1]RAW_DATA!AB:AB)</f>
        <v>2</v>
      </c>
      <c r="G14">
        <f>SUMIF([1]RAW_DATA!$F:$F,"Noida",[1]RAW_DATA!AJ:AJ)</f>
        <v>1</v>
      </c>
      <c r="H14">
        <f>SUMIF([1]RAW_DATA!$F:$F,"Hyderabad",[1]RAW_DATA!AA:AA)</f>
        <v>3</v>
      </c>
      <c r="I14">
        <f>SUMIF([1]RAW_DATA!$F:$F,"Pune",[1]RAW_DATA!AA:AA)</f>
        <v>3</v>
      </c>
      <c r="J14">
        <f>SUMIF([1]RAW_DATA!$F:$F,"Mumbai",[1]RAW_DATA!AA:AA)</f>
        <v>2</v>
      </c>
      <c r="K14">
        <f>SUMIF([1]RAW_DATA!$F:$F,"Delhi",[1]RAW_DATA!R:R)</f>
        <v>0</v>
      </c>
      <c r="L14">
        <f>SUMIF([1]RAW_DATA!$F:$F,"Chennai",[1]RAW_DATA!AA:AA)</f>
        <v>2</v>
      </c>
      <c r="M14">
        <f>SUMIF([1]RAW_DATA!$F:$F,"Remote",[1]RAW_DATA!AA:AA)</f>
        <v>0</v>
      </c>
      <c r="N14">
        <f>SUMIF([1]RAW_DATA!$D:$D,"Data Analyst",[1]RAW_DATA!AA:AA)</f>
        <v>5</v>
      </c>
      <c r="O14">
        <f>SUMIF([1]RAW_DATA!$D:$D,"Business Analyst",[1]RAW_DATA!AA:AA)</f>
        <v>0</v>
      </c>
      <c r="P14">
        <f>SUMIF([1]RAW_DATA!$D:$D,"Data Engineer",[1]RAW_DATA!AA:AA)</f>
        <v>26</v>
      </c>
      <c r="Q14">
        <f>SUMIF([1]RAW_DATA!$D:$D,"BI Developer",[1]RAW_DATA!AA:AA)</f>
        <v>0</v>
      </c>
      <c r="R14">
        <f>SUMIF([1]RAW_DATA!$D:$D,"MIS Analyst",[1]RAW_DATA!AA:AA)</f>
        <v>0</v>
      </c>
    </row>
    <row r="15" spans="1:18">
      <c r="A15" t="s">
        <v>35</v>
      </c>
      <c r="B15">
        <f>SUM([1]RAW_DATA!AB:AB)</f>
        <v>9</v>
      </c>
      <c r="C15" s="4">
        <f>B15/(COUNTA([1]RAW_DATA!A:A)-1)</f>
        <v>3.9130434782608699E-2</v>
      </c>
      <c r="D15">
        <f>SUM([1]RAW_DATA!AB:AB)</f>
        <v>9</v>
      </c>
      <c r="E15">
        <f>SUMIF([1]RAW_DATA!$F:$F,"Bengaluru",[1]RAW_DATA!AG:AG)</f>
        <v>4</v>
      </c>
      <c r="F15">
        <f>SUMIF([1]RAW_DATA!$F:$F,"Gurgaon",[1]RAW_DATA!AE:AE)</f>
        <v>2</v>
      </c>
      <c r="G15">
        <f>SUMIF([1]RAW_DATA!$F:$F,"Noida",[1]RAW_DATA!AL:AL)</f>
        <v>1</v>
      </c>
      <c r="H15">
        <f>SUMIF([1]RAW_DATA!$F:$F,"Hyderabad",[1]RAW_DATA!AB:AB)</f>
        <v>1</v>
      </c>
      <c r="I15">
        <f>SUMIF([1]RAW_DATA!$F:$F,"Pune",[1]RAW_DATA!AB:AB)</f>
        <v>2</v>
      </c>
      <c r="J15">
        <f>SUMIF([1]RAW_DATA!$F:$F,"Mumbai",[1]RAW_DATA!AB:AB)</f>
        <v>1</v>
      </c>
      <c r="K15">
        <f>SUMIF([1]RAW_DATA!$F:$F,"Delhi",[1]RAW_DATA!T:T)</f>
        <v>0</v>
      </c>
      <c r="L15">
        <f>SUMIF([1]RAW_DATA!$F:$F,"Chennai",[1]RAW_DATA!AB:AB)</f>
        <v>1</v>
      </c>
      <c r="M15">
        <f>SUMIF([1]RAW_DATA!$F:$F,"Remote",[1]RAW_DATA!AB:AB)</f>
        <v>0</v>
      </c>
      <c r="N15">
        <f>SUMIF([1]RAW_DATA!$D:$D,"Data Analyst",[1]RAW_DATA!AB:AB)</f>
        <v>0</v>
      </c>
      <c r="O15">
        <f>SUMIF([1]RAW_DATA!$D:$D,"Business Analyst",[1]RAW_DATA!AB:AB)</f>
        <v>0</v>
      </c>
      <c r="P15">
        <f>SUMIF([1]RAW_DATA!$D:$D,"Data Engineer",[1]RAW_DATA!AB:AB)</f>
        <v>8</v>
      </c>
      <c r="Q15">
        <f>SUMIF([1]RAW_DATA!$D:$D,"BI Developer",[1]RAW_DATA!AB:AB)</f>
        <v>0</v>
      </c>
      <c r="R15">
        <f>SUMIF([1]RAW_DATA!$D:$D,"MIS Analyst",[1]RAW_DATA!AB:AB)</f>
        <v>0</v>
      </c>
    </row>
    <row r="16" spans="1:18">
      <c r="A16" t="s">
        <v>36</v>
      </c>
      <c r="B16">
        <f>SUM([1]RAW_DATA!AC:AC)</f>
        <v>44</v>
      </c>
      <c r="C16" s="4">
        <f>B16/(COUNTA([1]RAW_DATA!A:A)-1)</f>
        <v>0.19130434782608696</v>
      </c>
      <c r="D16">
        <f>SUM([1]RAW_DATA!AC:AC)</f>
        <v>44</v>
      </c>
      <c r="E16">
        <f>SUMIF([1]RAW_DATA!$F:$F,"Bengaluru",[1]RAW_DATA!V:V)</f>
        <v>3</v>
      </c>
      <c r="F16">
        <f>SUMIF([1]RAW_DATA!$F:$F,"Gurgaon",[1]RAW_DATA!AG:AG)</f>
        <v>2</v>
      </c>
      <c r="G16">
        <f>SUMIF([1]RAW_DATA!$F:$F,"Noida",[1]RAW_DATA!W:W)</f>
        <v>0</v>
      </c>
      <c r="H16">
        <f>SUMIF([1]RAW_DATA!$F:$F,"Hyderabad",[1]RAW_DATA!AC:AC)</f>
        <v>9</v>
      </c>
      <c r="I16">
        <f>SUMIF([1]RAW_DATA!$F:$F,"Pune",[1]RAW_DATA!AC:AC)</f>
        <v>1</v>
      </c>
      <c r="J16">
        <f>SUMIF([1]RAW_DATA!$F:$F,"Mumbai",[1]RAW_DATA!AC:AC)</f>
        <v>4</v>
      </c>
      <c r="K16">
        <f>SUMIF([1]RAW_DATA!$F:$F,"Delhi",[1]RAW_DATA!V:V)</f>
        <v>0</v>
      </c>
      <c r="L16">
        <f>SUMIF([1]RAW_DATA!$F:$F,"Chennai",[1]RAW_DATA!AC:AC)</f>
        <v>3</v>
      </c>
      <c r="M16">
        <f>SUMIF([1]RAW_DATA!$F:$F,"Remote",[1]RAW_DATA!AC:AC)</f>
        <v>1</v>
      </c>
      <c r="N16">
        <f>SUMIF([1]RAW_DATA!$D:$D,"Data Analyst",[1]RAW_DATA!AC:AC)</f>
        <v>9</v>
      </c>
      <c r="O16">
        <f>SUMIF([1]RAW_DATA!$D:$D,"Business Analyst",[1]RAW_DATA!AC:AC)</f>
        <v>3</v>
      </c>
      <c r="P16">
        <f>SUMIF([1]RAW_DATA!$D:$D,"Data Engineer",[1]RAW_DATA!AC:AC)</f>
        <v>22</v>
      </c>
      <c r="Q16">
        <f>SUMIF([1]RAW_DATA!$D:$D,"BI Developer",[1]RAW_DATA!AC:AC)</f>
        <v>10</v>
      </c>
      <c r="R16">
        <f>SUMIF([1]RAW_DATA!$D:$D,"MIS Analyst",[1]RAW_DATA!AC:AC)</f>
        <v>0</v>
      </c>
    </row>
    <row r="17" spans="1:18">
      <c r="A17" t="s">
        <v>37</v>
      </c>
      <c r="B17">
        <f>SUM([1]RAW_DATA!AD:AD)</f>
        <v>19</v>
      </c>
      <c r="C17" s="4">
        <f>B17/(COUNTA([1]RAW_DATA!A:A)-1)</f>
        <v>8.2608695652173908E-2</v>
      </c>
      <c r="D17">
        <f>SUM([1]RAW_DATA!AD:AD)</f>
        <v>19</v>
      </c>
      <c r="E17">
        <f>SUMIF([1]RAW_DATA!$F:$F,"Bengaluru",[1]RAW_DATA!AI:AI)</f>
        <v>3</v>
      </c>
      <c r="F17">
        <f>SUMIF([1]RAW_DATA!$F:$F,"Gurgaon",[1]RAW_DATA!AH:AH)</f>
        <v>2</v>
      </c>
      <c r="G17">
        <f>SUMIF([1]RAW_DATA!$F:$F,"Noida",[1]RAW_DATA!X:X)</f>
        <v>0</v>
      </c>
      <c r="H17">
        <f>SUMIF([1]RAW_DATA!$F:$F,"Hyderabad",[1]RAW_DATA!AD:AD)</f>
        <v>3</v>
      </c>
      <c r="I17">
        <f>SUMIF([1]RAW_DATA!$F:$F,"Pune",[1]RAW_DATA!AD:AD)</f>
        <v>2</v>
      </c>
      <c r="J17">
        <f>SUMIF([1]RAW_DATA!$F:$F,"Mumbai",[1]RAW_DATA!AD:AD)</f>
        <v>1</v>
      </c>
      <c r="K17">
        <f>SUMIF([1]RAW_DATA!$F:$F,"Delhi",[1]RAW_DATA!Y:Y)</f>
        <v>0</v>
      </c>
      <c r="L17">
        <f>SUMIF([1]RAW_DATA!$F:$F,"Chennai",[1]RAW_DATA!AD:AD)</f>
        <v>1</v>
      </c>
      <c r="M17">
        <f>SUMIF([1]RAW_DATA!$F:$F,"Remote",[1]RAW_DATA!AD:AD)</f>
        <v>0</v>
      </c>
      <c r="N17">
        <f>SUMIF([1]RAW_DATA!$D:$D,"Data Analyst",[1]RAW_DATA!AD:AD)</f>
        <v>4</v>
      </c>
      <c r="O17">
        <f>SUMIF([1]RAW_DATA!$D:$D,"Business Analyst",[1]RAW_DATA!AD:AD)</f>
        <v>1</v>
      </c>
      <c r="P17">
        <f>SUMIF([1]RAW_DATA!$D:$D,"Data Engineer",[1]RAW_DATA!AD:AD)</f>
        <v>12</v>
      </c>
      <c r="Q17">
        <f>SUMIF([1]RAW_DATA!$D:$D,"BI Developer",[1]RAW_DATA!AD:AD)</f>
        <v>2</v>
      </c>
      <c r="R17">
        <f>SUMIF([1]RAW_DATA!$D:$D,"MIS Analyst",[1]RAW_DATA!AD:AD)</f>
        <v>0</v>
      </c>
    </row>
    <row r="18" spans="1:18">
      <c r="A18" t="s">
        <v>44</v>
      </c>
      <c r="B18">
        <f>SUM([1]RAW_DATA!AE:AE)</f>
        <v>12</v>
      </c>
      <c r="C18" s="4">
        <f>B18/(COUNTA([1]RAW_DATA!A:A)-1)</f>
        <v>5.2173913043478258E-2</v>
      </c>
      <c r="D18">
        <f>SUM([1]RAW_DATA!AE:AE)</f>
        <v>12</v>
      </c>
      <c r="E18">
        <f>SUMIF([1]RAW_DATA!$F:$F,"Bengaluru",[1]RAW_DATA!T:T)</f>
        <v>2</v>
      </c>
      <c r="F18">
        <f>SUMIF([1]RAW_DATA!$F:$F,"Gurgaon",[1]RAW_DATA!AJ:AJ)</f>
        <v>2</v>
      </c>
      <c r="G18">
        <f>SUMIF([1]RAW_DATA!$F:$F,"Noida",[1]RAW_DATA!Y:Y)</f>
        <v>0</v>
      </c>
      <c r="H18">
        <f>SUMIF([1]RAW_DATA!$F:$F,"Hyderabad",[1]RAW_DATA!AE:AE)</f>
        <v>0</v>
      </c>
      <c r="I18">
        <f>SUMIF([1]RAW_DATA!$F:$F,"Pune",[1]RAW_DATA!AE:AE)</f>
        <v>2</v>
      </c>
      <c r="J18">
        <f>SUMIF([1]RAW_DATA!$F:$F,"Mumbai",[1]RAW_DATA!AE:AE)</f>
        <v>2</v>
      </c>
      <c r="K18">
        <f>SUMIF([1]RAW_DATA!$F:$F,"Delhi",[1]RAW_DATA!Z:Z)</f>
        <v>0</v>
      </c>
      <c r="L18">
        <f>SUMIF([1]RAW_DATA!$F:$F,"Chennai",[1]RAW_DATA!AE:AE)</f>
        <v>1</v>
      </c>
      <c r="M18">
        <f>SUMIF([1]RAW_DATA!$F:$F,"Remote",[1]RAW_DATA!AE:AE)</f>
        <v>1</v>
      </c>
      <c r="N18">
        <f>SUMIF([1]RAW_DATA!$D:$D,"Data Analyst",[1]RAW_DATA!AE:AE)</f>
        <v>2</v>
      </c>
      <c r="O18">
        <f>SUMIF([1]RAW_DATA!$D:$D,"Business Analyst",[1]RAW_DATA!AE:AE)</f>
        <v>1</v>
      </c>
      <c r="P18">
        <f>SUMIF([1]RAW_DATA!$D:$D,"Data Engineer",[1]RAW_DATA!AE:AE)</f>
        <v>9</v>
      </c>
      <c r="Q18">
        <f>SUMIF([1]RAW_DATA!$D:$D,"BI Developer",[1]RAW_DATA!AE:AE)</f>
        <v>0</v>
      </c>
      <c r="R18">
        <f>SUMIF([1]RAW_DATA!$D:$D,"MIS Analyst",[1]RAW_DATA!AE:AE)</f>
        <v>0</v>
      </c>
    </row>
    <row r="19" spans="1:18">
      <c r="A19" t="s">
        <v>38</v>
      </c>
      <c r="B19">
        <f>SUM([1]RAW_DATA!AF:AF)</f>
        <v>2</v>
      </c>
      <c r="C19" s="4">
        <f>B19/(COUNTA([1]RAW_DATA!A:A)-1)</f>
        <v>8.6956521739130436E-3</v>
      </c>
      <c r="D19">
        <f>SUM([1]RAW_DATA!AF:AF)</f>
        <v>2</v>
      </c>
      <c r="E19">
        <f>SUMIF([1]RAW_DATA!$F:$F,"Bengaluru",[1]RAW_DATA!W:W)</f>
        <v>2</v>
      </c>
      <c r="F19">
        <f>SUMIF([1]RAW_DATA!$F:$F,"Gurgaon",[1]RAW_DATA!AK:AK)</f>
        <v>2</v>
      </c>
      <c r="G19">
        <f>SUMIF([1]RAW_DATA!$F:$F,"Noida",[1]RAW_DATA!Z:Z)</f>
        <v>0</v>
      </c>
      <c r="H19">
        <f>SUMIF([1]RAW_DATA!$F:$F,"Hyderabad",[1]RAW_DATA!AF:AF)</f>
        <v>0</v>
      </c>
      <c r="I19">
        <f>SUMIF([1]RAW_DATA!$F:$F,"Pune",[1]RAW_DATA!AF:AF)</f>
        <v>0</v>
      </c>
      <c r="J19">
        <f>SUMIF([1]RAW_DATA!$F:$F,"Mumbai",[1]RAW_DATA!AF:AF)</f>
        <v>0</v>
      </c>
      <c r="K19">
        <f>SUMIF([1]RAW_DATA!$F:$F,"Delhi",[1]RAW_DATA!AD:AD)</f>
        <v>0</v>
      </c>
      <c r="L19">
        <f>SUMIF([1]RAW_DATA!$F:$F,"Chennai",[1]RAW_DATA!AF:AF)</f>
        <v>0</v>
      </c>
      <c r="M19">
        <f>SUMIF([1]RAW_DATA!$F:$F,"Remote",[1]RAW_DATA!AF:AF)</f>
        <v>0</v>
      </c>
      <c r="N19">
        <f>SUMIF([1]RAW_DATA!$D:$D,"Data Analyst",[1]RAW_DATA!AF:AF)</f>
        <v>2</v>
      </c>
      <c r="O19">
        <f>SUMIF([1]RAW_DATA!$D:$D,"Business Analyst",[1]RAW_DATA!AF:AF)</f>
        <v>0</v>
      </c>
      <c r="P19">
        <f>SUMIF([1]RAW_DATA!$D:$D,"Data Engineer",[1]RAW_DATA!AF:AF)</f>
        <v>0</v>
      </c>
      <c r="Q19">
        <f>SUMIF([1]RAW_DATA!$D:$D,"BI Developer",[1]RAW_DATA!AF:AF)</f>
        <v>0</v>
      </c>
      <c r="R19">
        <f>SUMIF([1]RAW_DATA!$D:$D,"MIS Analyst",[1]RAW_DATA!AF:AF)</f>
        <v>0</v>
      </c>
    </row>
    <row r="20" spans="1:18">
      <c r="A20" t="s">
        <v>39</v>
      </c>
      <c r="B20">
        <f>SUM([1]RAW_DATA!AG:AG)</f>
        <v>12</v>
      </c>
      <c r="C20" s="4">
        <f>B20/(COUNTA([1]RAW_DATA!A:A)-1)</f>
        <v>5.2173913043478258E-2</v>
      </c>
      <c r="D20">
        <f>SUM([1]RAW_DATA!AG:AG)</f>
        <v>12</v>
      </c>
      <c r="E20">
        <f>SUMIF([1]RAW_DATA!$F:$F,"Bengaluru",[1]RAW_DATA!Y:Y)</f>
        <v>2</v>
      </c>
      <c r="F20">
        <f>SUMIF([1]RAW_DATA!$F:$F,"Gurgaon",[1]RAW_DATA!T:T)</f>
        <v>1</v>
      </c>
      <c r="G20">
        <f>SUMIF([1]RAW_DATA!$F:$F,"Noida",[1]RAW_DATA!AB:AB)</f>
        <v>0</v>
      </c>
      <c r="H20">
        <f>SUMIF([1]RAW_DATA!$F:$F,"Hyderabad",[1]RAW_DATA!AG:AG)</f>
        <v>3</v>
      </c>
      <c r="I20">
        <f>SUMIF([1]RAW_DATA!$F:$F,"Pune",[1]RAW_DATA!AG:AG)</f>
        <v>1</v>
      </c>
      <c r="J20">
        <f>SUMIF([1]RAW_DATA!$F:$F,"Mumbai",[1]RAW_DATA!AG:AG)</f>
        <v>0</v>
      </c>
      <c r="K20">
        <f>SUMIF([1]RAW_DATA!$F:$F,"Delhi",[1]RAW_DATA!AE:AE)</f>
        <v>0</v>
      </c>
      <c r="L20">
        <f>SUMIF([1]RAW_DATA!$F:$F,"Chennai",[1]RAW_DATA!AG:AG)</f>
        <v>1</v>
      </c>
      <c r="M20">
        <f>SUMIF([1]RAW_DATA!$F:$F,"Remote",[1]RAW_DATA!AG:AG)</f>
        <v>0</v>
      </c>
      <c r="N20">
        <f>SUMIF([1]RAW_DATA!$D:$D,"Data Analyst",[1]RAW_DATA!AG:AG)</f>
        <v>4</v>
      </c>
      <c r="O20">
        <f>SUMIF([1]RAW_DATA!$D:$D,"Business Analyst",[1]RAW_DATA!AG:AG)</f>
        <v>0</v>
      </c>
      <c r="P20">
        <f>SUMIF([1]RAW_DATA!$D:$D,"Data Engineer",[1]RAW_DATA!AG:AG)</f>
        <v>7</v>
      </c>
      <c r="Q20">
        <f>SUMIF([1]RAW_DATA!$D:$D,"BI Developer",[1]RAW_DATA!AG:AG)</f>
        <v>1</v>
      </c>
      <c r="R20">
        <f>SUMIF([1]RAW_DATA!$D:$D,"MIS Analyst",[1]RAW_DATA!AG:AG)</f>
        <v>0</v>
      </c>
    </row>
    <row r="21" spans="1:18">
      <c r="A21" t="s">
        <v>40</v>
      </c>
      <c r="B21">
        <f>SUM([1]RAW_DATA!AH:AH)</f>
        <v>8</v>
      </c>
      <c r="C21" s="4">
        <f>B21/(COUNTA([1]RAW_DATA!A:A)-1)</f>
        <v>3.4782608695652174E-2</v>
      </c>
      <c r="D21">
        <f>SUM([1]RAW_DATA!AH:AH)</f>
        <v>8</v>
      </c>
      <c r="E21">
        <f>SUMIF([1]RAW_DATA!$F:$F,"Bengaluru",[1]RAW_DATA!Z:Z)</f>
        <v>2</v>
      </c>
      <c r="F21">
        <f>SUMIF([1]RAW_DATA!$F:$F,"Gurgaon",[1]RAW_DATA!Y:Y)</f>
        <v>1</v>
      </c>
      <c r="G21">
        <f>SUMIF([1]RAW_DATA!$F:$F,"Noida",[1]RAW_DATA!AD:AD)</f>
        <v>0</v>
      </c>
      <c r="H21">
        <f>SUMIF([1]RAW_DATA!$F:$F,"Hyderabad",[1]RAW_DATA!AH:AH)</f>
        <v>2</v>
      </c>
      <c r="I21">
        <f>SUMIF([1]RAW_DATA!$F:$F,"Pune",[1]RAW_DATA!AH:AH)</f>
        <v>2</v>
      </c>
      <c r="J21">
        <f>SUMIF([1]RAW_DATA!$F:$F,"Mumbai",[1]RAW_DATA!AH:AH)</f>
        <v>0</v>
      </c>
      <c r="K21">
        <f>SUMIF([1]RAW_DATA!$F:$F,"Delhi",[1]RAW_DATA!AF:AF)</f>
        <v>0</v>
      </c>
      <c r="L21">
        <f>SUMIF([1]RAW_DATA!$F:$F,"Chennai",[1]RAW_DATA!AH:AH)</f>
        <v>0</v>
      </c>
      <c r="M21">
        <f>SUMIF([1]RAW_DATA!$F:$F,"Remote",[1]RAW_DATA!AH:AH)</f>
        <v>0</v>
      </c>
      <c r="N21">
        <f>SUMIF([1]RAW_DATA!$D:$D,"Data Analyst",[1]RAW_DATA!AH:AH)</f>
        <v>1</v>
      </c>
      <c r="O21">
        <f>SUMIF([1]RAW_DATA!$D:$D,"Business Analyst",[1]RAW_DATA!AH:AH)</f>
        <v>5</v>
      </c>
      <c r="P21">
        <f>SUMIF([1]RAW_DATA!$D:$D,"Data Engineer",[1]RAW_DATA!AH:AH)</f>
        <v>1</v>
      </c>
      <c r="Q21">
        <f>SUMIF([1]RAW_DATA!$D:$D,"BI Developer",[1]RAW_DATA!AH:AH)</f>
        <v>1</v>
      </c>
      <c r="R21">
        <f>SUMIF([1]RAW_DATA!$D:$D,"MIS Analyst",[1]RAW_DATA!AH:AH)</f>
        <v>0</v>
      </c>
    </row>
    <row r="22" spans="1:18">
      <c r="A22" t="s">
        <v>41</v>
      </c>
      <c r="B22">
        <f>SUM([1]RAW_DATA!AI:AI)</f>
        <v>8</v>
      </c>
      <c r="C22" s="4">
        <f>B22/(COUNTA([1]RAW_DATA!A:A)-1)</f>
        <v>3.4782608695652174E-2</v>
      </c>
      <c r="D22">
        <f>SUM([1]RAW_DATA!AI:AI)</f>
        <v>8</v>
      </c>
      <c r="E22">
        <f>SUMIF([1]RAW_DATA!$F:$F,"Bengaluru",[1]RAW_DATA!AH:AH)</f>
        <v>2</v>
      </c>
      <c r="F22">
        <f>SUMIF([1]RAW_DATA!$F:$F,"Gurgaon",[1]RAW_DATA!Z:Z)</f>
        <v>1</v>
      </c>
      <c r="G22">
        <f>SUMIF([1]RAW_DATA!$F:$F,"Noida",[1]RAW_DATA!AE:AE)</f>
        <v>0</v>
      </c>
      <c r="H22">
        <f>SUMIF([1]RAW_DATA!$F:$F,"Hyderabad",[1]RAW_DATA!AI:AI)</f>
        <v>2</v>
      </c>
      <c r="I22">
        <f>SUMIF([1]RAW_DATA!$F:$F,"Pune",[1]RAW_DATA!AI:AI)</f>
        <v>1</v>
      </c>
      <c r="J22">
        <f>SUMIF([1]RAW_DATA!$F:$F,"Mumbai",[1]RAW_DATA!AI:AI)</f>
        <v>0</v>
      </c>
      <c r="K22">
        <f>SUMIF([1]RAW_DATA!$F:$F,"Delhi",[1]RAW_DATA!AG:AG)</f>
        <v>0</v>
      </c>
      <c r="L22">
        <f>SUMIF([1]RAW_DATA!$F:$F,"Chennai",[1]RAW_DATA!AI:AI)</f>
        <v>0</v>
      </c>
      <c r="M22">
        <f>SUMIF([1]RAW_DATA!$F:$F,"Remote",[1]RAW_DATA!AI:AI)</f>
        <v>0</v>
      </c>
      <c r="N22">
        <f>SUMIF([1]RAW_DATA!$D:$D,"Data Analyst",[1]RAW_DATA!AI:AI)</f>
        <v>0</v>
      </c>
      <c r="O22">
        <f>SUMIF([1]RAW_DATA!$D:$D,"Business Analyst",[1]RAW_DATA!AI:AI)</f>
        <v>7</v>
      </c>
      <c r="P22">
        <f>SUMIF([1]RAW_DATA!$D:$D,"Data Engineer",[1]RAW_DATA!AI:AI)</f>
        <v>1</v>
      </c>
      <c r="Q22">
        <f>SUMIF([1]RAW_DATA!$D:$D,"BI Developer",[1]RAW_DATA!AI:AI)</f>
        <v>0</v>
      </c>
      <c r="R22">
        <f>SUMIF([1]RAW_DATA!$D:$D,"MIS Analyst",[1]RAW_DATA!AI:AI)</f>
        <v>0</v>
      </c>
    </row>
    <row r="23" spans="1:18">
      <c r="A23" t="s">
        <v>42</v>
      </c>
      <c r="B23">
        <f>SUM([1]RAW_DATA!AJ:AJ)</f>
        <v>14</v>
      </c>
      <c r="C23" s="4">
        <f>B23/(COUNTA([1]RAW_DATA!A:A)-1)</f>
        <v>6.0869565217391307E-2</v>
      </c>
      <c r="D23">
        <f>SUM([1]RAW_DATA!AJ:AJ)</f>
        <v>14</v>
      </c>
      <c r="E23">
        <f>SUMIF([1]RAW_DATA!$F:$F,"Bengaluru",[1]RAW_DATA!AL:AL)</f>
        <v>2</v>
      </c>
      <c r="F23">
        <f>SUMIF([1]RAW_DATA!$F:$F,"Gurgaon",[1]RAW_DATA!AF:AF)</f>
        <v>1</v>
      </c>
      <c r="G23">
        <f>SUMIF([1]RAW_DATA!$F:$F,"Noida",[1]RAW_DATA!AF:AF)</f>
        <v>0</v>
      </c>
      <c r="H23">
        <f>SUMIF([1]RAW_DATA!$F:$F,"Hyderabad",[1]RAW_DATA!AJ:AJ)</f>
        <v>2</v>
      </c>
      <c r="I23">
        <f>SUMIF([1]RAW_DATA!$F:$F,"Pune",[1]RAW_DATA!AJ:AJ)</f>
        <v>0</v>
      </c>
      <c r="J23">
        <f>SUMIF([1]RAW_DATA!$F:$F,"Mumbai",[1]RAW_DATA!AJ:AJ)</f>
        <v>1</v>
      </c>
      <c r="K23">
        <f>SUMIF([1]RAW_DATA!$F:$F,"Delhi",[1]RAW_DATA!AH:AH)</f>
        <v>0</v>
      </c>
      <c r="L23">
        <f>SUMIF([1]RAW_DATA!$F:$F,"Chennai",[1]RAW_DATA!AJ:AJ)</f>
        <v>2</v>
      </c>
      <c r="M23">
        <f>SUMIF([1]RAW_DATA!$F:$F,"Remote",[1]RAW_DATA!AJ:AJ)</f>
        <v>0</v>
      </c>
      <c r="N23">
        <f>SUMIF([1]RAW_DATA!$D:$D,"Data Analyst",[1]RAW_DATA!AJ:AJ)</f>
        <v>2</v>
      </c>
      <c r="O23">
        <f>SUMIF([1]RAW_DATA!$D:$D,"Business Analyst",[1]RAW_DATA!AJ:AJ)</f>
        <v>1</v>
      </c>
      <c r="P23">
        <f>SUMIF([1]RAW_DATA!$D:$D,"Data Engineer",[1]RAW_DATA!AJ:AJ)</f>
        <v>10</v>
      </c>
      <c r="Q23">
        <f>SUMIF([1]RAW_DATA!$D:$D,"BI Developer",[1]RAW_DATA!AJ:AJ)</f>
        <v>1</v>
      </c>
      <c r="R23">
        <f>SUMIF([1]RAW_DATA!$D:$D,"MIS Analyst",[1]RAW_DATA!AJ:AJ)</f>
        <v>0</v>
      </c>
    </row>
    <row r="24" spans="1:18">
      <c r="A24" t="s">
        <v>43</v>
      </c>
      <c r="B24">
        <v>19</v>
      </c>
      <c r="C24" s="4">
        <f>B24/(COUNTA([1]RAW_DATA!A:A)-1)</f>
        <v>8.2608695652173908E-2</v>
      </c>
      <c r="D24">
        <f>SUM([1]RAW_DATA!AK:AK)</f>
        <v>19</v>
      </c>
      <c r="E24">
        <f>SUMIF([1]RAW_DATA!$F:$F,"Bengaluru",[1]RAW_DATA!AB:AB)</f>
        <v>1</v>
      </c>
      <c r="F24">
        <f>SUMIF([1]RAW_DATA!$F:$F,"Gurgaon",[1]RAW_DATA!AI:AI)</f>
        <v>1</v>
      </c>
      <c r="G24">
        <f>SUMIF([1]RAW_DATA!$F:$F,"Noida",[1]RAW_DATA!AH:AH)</f>
        <v>0</v>
      </c>
      <c r="H24">
        <f>SUMIF([1]RAW_DATA!$F:$F,"Hyderabad",[1]RAW_DATA!AK:AK)</f>
        <v>0</v>
      </c>
      <c r="I24">
        <f>SUMIF([1]RAW_DATA!$F:$F,"Pune",[1]RAW_DATA!AK:AK)</f>
        <v>5</v>
      </c>
      <c r="J24">
        <f>SUMIF([1]RAW_DATA!$F:$F,"Mumbai",[1]RAW_DATA!AK:AK)</f>
        <v>3</v>
      </c>
      <c r="K24">
        <f>SUMIF([1]RAW_DATA!$F:$F,"Delhi",[1]RAW_DATA!AI:AI)</f>
        <v>0</v>
      </c>
      <c r="L24">
        <f>SUMIF([1]RAW_DATA!$F:$F,"Chennai",[1]RAW_DATA!AK:AK)</f>
        <v>0</v>
      </c>
      <c r="M24">
        <f>SUMIF([1]RAW_DATA!$F:$F,"Remote",[1]RAW_DATA!AK:AK)</f>
        <v>2</v>
      </c>
      <c r="N24">
        <f>SUMIF([1]RAW_DATA!$D:$D,"Data Analyst",[1]RAW_DATA!AK:AK)</f>
        <v>3</v>
      </c>
      <c r="O24">
        <f>SUMIF([1]RAW_DATA!$D:$D,"Business Analyst",[1]RAW_DATA!AK:AK)</f>
        <v>4</v>
      </c>
      <c r="P24">
        <f>SUMIF([1]RAW_DATA!$D:$D,"Data Engineer",[1]RAW_DATA!AK:AK)</f>
        <v>0</v>
      </c>
      <c r="Q24">
        <f>SUMIF([1]RAW_DATA!$D:$D,"BI Developer",[1]RAW_DATA!AK:AK)</f>
        <v>1</v>
      </c>
      <c r="R24">
        <f>SUMIF([1]RAW_DATA!$D:$D,"MIS Analyst",[1]RAW_DATA!AK:AK)</f>
        <v>11</v>
      </c>
    </row>
    <row r="25" spans="1:18">
      <c r="A25" t="s">
        <v>45</v>
      </c>
      <c r="B25">
        <v>10</v>
      </c>
      <c r="C25" s="4">
        <f>B25/(COUNTA([1]RAW_DATA!A:A)-1)</f>
        <v>4.3478260869565216E-2</v>
      </c>
      <c r="D25">
        <f>SUM([1]RAW_DATA!AL:AL)</f>
        <v>10</v>
      </c>
      <c r="E25">
        <f>SUMIF([1]RAW_DATA!$F:$F,"Bengaluru",[1]RAW_DATA!AF:AF)</f>
        <v>1</v>
      </c>
      <c r="F25">
        <f>SUMIF([1]RAW_DATA!$F:$F,"Gurgaon",[1]RAW_DATA!X:X)</f>
        <v>0</v>
      </c>
      <c r="G25">
        <f>SUMIF([1]RAW_DATA!$F:$F,"Noida",[1]RAW_DATA!AK:AK)</f>
        <v>0</v>
      </c>
      <c r="H25">
        <f>SUMIF([1]RAW_DATA!$F:$F,"Hyderabad",[1]RAW_DATA!AL:AL)</f>
        <v>0</v>
      </c>
      <c r="I25">
        <f>SUMIF([1]RAW_DATA!$F:$F,"Pune",[1]RAW_DATA!AL:AL)</f>
        <v>1</v>
      </c>
      <c r="J25">
        <f>SUMIF([1]RAW_DATA!$F:$F,"Mumbai",[1]RAW_DATA!AL:AL)</f>
        <v>1</v>
      </c>
      <c r="K25">
        <f>SUMIF([1]RAW_DATA!$F:$F,"Delhi",[1]RAW_DATA!AL:AL)</f>
        <v>0</v>
      </c>
      <c r="L25">
        <f>SUMIF([1]RAW_DATA!$F:$F,"Chennai",[1]RAW_DATA!AL:AL)</f>
        <v>2</v>
      </c>
      <c r="M25">
        <f>SUMIF([1]RAW_DATA!$F:$F,"Remote",[1]RAW_DATA!AL:AL)</f>
        <v>0</v>
      </c>
      <c r="N25">
        <f>SUMIF([1]RAW_DATA!$D:$D,"Data Analyst",[1]RAW_DATA!AL:AL)</f>
        <v>0</v>
      </c>
      <c r="O25">
        <f>SUMIF([1]RAW_DATA!$D:$D,"Business Analyst",[1]RAW_DATA!AL:AL)</f>
        <v>0</v>
      </c>
      <c r="P25">
        <f>SUMIF([1]RAW_DATA!$D:$D,"Data Engineer",[1]RAW_DATA!AL:AL)</f>
        <v>10</v>
      </c>
      <c r="Q25">
        <f>SUMIF([1]RAW_DATA!$D:$D,"BI Developer",[1]RAW_DATA!AL:AL)</f>
        <v>0</v>
      </c>
      <c r="R25">
        <f>SUMIF([1]RAW_DATA!$D:$D,"MIS Analyst",[1]RAW_DATA!AL:AL)</f>
        <v>0</v>
      </c>
    </row>
    <row r="29" spans="1:18">
      <c r="A29" s="1" t="s">
        <v>57</v>
      </c>
      <c r="B29" s="1" t="s">
        <v>47</v>
      </c>
      <c r="C29" s="1" t="s">
        <v>48</v>
      </c>
    </row>
    <row r="30" spans="1:18">
      <c r="A30" t="s">
        <v>19</v>
      </c>
      <c r="B30">
        <f>SUM([1]RAW_DATA!AM:AM)</f>
        <v>9</v>
      </c>
      <c r="C30" s="4">
        <f>B30/COUNTA([1]RAW_DATA!AM:AM)</f>
        <v>3.896103896103896E-2</v>
      </c>
    </row>
    <row r="31" spans="1:18">
      <c r="A31" t="s">
        <v>25</v>
      </c>
      <c r="B31">
        <f>SUM([1]RAW_DATA!AN:AN)</f>
        <v>5</v>
      </c>
      <c r="C31" s="4">
        <f>B31/COUNTA([1]RAW_DATA!AN:AN)</f>
        <v>2.1645021645021644E-2</v>
      </c>
    </row>
    <row r="32" spans="1:18">
      <c r="A32" t="s">
        <v>58</v>
      </c>
      <c r="B32">
        <f>SUM([1]RAW_DATA!AO:AO)</f>
        <v>5</v>
      </c>
      <c r="C32" s="4">
        <f>B32/COUNTA([1]RAW_DATA!AO:AO)</f>
        <v>2.1645021645021644E-2</v>
      </c>
    </row>
    <row r="33" spans="1:3">
      <c r="A33" t="s">
        <v>59</v>
      </c>
      <c r="B33">
        <f>SUM([1]RAW_DATA!AP:AP)</f>
        <v>4</v>
      </c>
      <c r="C33" s="4">
        <f>B33/COUNTA([1]RAW_DATA!AP:AP)</f>
        <v>1.7316017316017316E-2</v>
      </c>
    </row>
    <row r="34" spans="1:3">
      <c r="A34" t="s">
        <v>60</v>
      </c>
      <c r="B34">
        <f>SUM([1]RAW_DATA!AQ:AQ)</f>
        <v>8</v>
      </c>
      <c r="C34" s="4">
        <f>B34/COUNTA([1]RAW_DATA!AQ:AQ)</f>
        <v>3.4632034632034632E-2</v>
      </c>
    </row>
    <row r="35" spans="1:3">
      <c r="A35" t="s">
        <v>63</v>
      </c>
      <c r="B35">
        <f>SUM([1]RAW_DATA!AR:AR)</f>
        <v>8</v>
      </c>
      <c r="C35" s="4">
        <f>B35/COUNTA([1]RAW_DATA!AR:AR)</f>
        <v>3.4632034632034632E-2</v>
      </c>
    </row>
    <row r="36" spans="1:3">
      <c r="A36" t="s">
        <v>61</v>
      </c>
      <c r="B36">
        <f>SUM([1]RAW_DATA!AS:AS)</f>
        <v>3</v>
      </c>
      <c r="C36" s="4">
        <f>B36/COUNTA([1]RAW_DATA!AS:AS)</f>
        <v>1.2987012987012988E-2</v>
      </c>
    </row>
    <row r="37" spans="1:3">
      <c r="A37" t="s">
        <v>62</v>
      </c>
      <c r="B37">
        <f>SUM([1]RAW_DATA!AT:AT)</f>
        <v>4</v>
      </c>
      <c r="C37" s="4">
        <f>B37/COUNTA([1]RAW_DATA!AT:AT)</f>
        <v>1.7316017316017316E-2</v>
      </c>
    </row>
    <row r="38" spans="1:3">
      <c r="A38" t="s">
        <v>29</v>
      </c>
      <c r="B38">
        <f>SUM([1]RAW_DATA!AU:AU)</f>
        <v>4</v>
      </c>
      <c r="C38" s="4">
        <f>B38/COUNTA([1]RAW_DATA!AU:AU)</f>
        <v>1.7316017316017316E-2</v>
      </c>
    </row>
    <row r="39" spans="1:3">
      <c r="A39" t="s">
        <v>30</v>
      </c>
      <c r="B39">
        <f>SUM([1]RAW_DATA!AV:AV)</f>
        <v>3</v>
      </c>
      <c r="C39" s="4">
        <f>B39/COUNTA([1]RAW_DATA!AV:AV)</f>
        <v>1.2987012987012988E-2</v>
      </c>
    </row>
    <row r="40" spans="1:3">
      <c r="A40" t="s">
        <v>37</v>
      </c>
      <c r="B40">
        <f>SUM([1]RAW_DATA!AW:AW)</f>
        <v>4</v>
      </c>
      <c r="C40" s="4">
        <f>B40/COUNTA([1]RAW_DATA!AW:AW)</f>
        <v>1.7316017316017316E-2</v>
      </c>
    </row>
    <row r="41" spans="1:3">
      <c r="A41" t="s">
        <v>27</v>
      </c>
      <c r="B41">
        <f>SUM([1]RAW_DATA!AX:AX)</f>
        <v>3</v>
      </c>
      <c r="C41" s="4">
        <f>B41/COUNTA([1]RAW_DATA!AX:AX)</f>
        <v>1.2987012987012988E-2</v>
      </c>
    </row>
    <row r="42" spans="1:3">
      <c r="A42" t="s">
        <v>26</v>
      </c>
      <c r="B42">
        <f>SUM([1]RAW_DATA!AY:AY)</f>
        <v>3</v>
      </c>
      <c r="C42" s="4">
        <f>B42/COUNTA([1]RAW_DATA!AY:AY)</f>
        <v>1.2987012987012988E-2</v>
      </c>
    </row>
  </sheetData>
  <sortState ref="K2:K45">
    <sortCondition descending="1" ref="K1:K4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zoomScale="90" zoomScaleNormal="90" workbookViewId="0">
      <selection activeCell="L26" sqref="L26"/>
    </sheetView>
  </sheetViews>
  <sheetFormatPr defaultRowHeight="13.8"/>
  <cols>
    <col min="1" max="1" width="29.09765625" customWidth="1"/>
    <col min="2" max="2" width="17.59765625" customWidth="1"/>
    <col min="3" max="3" width="14" customWidth="1"/>
    <col min="4" max="4" width="15.296875" customWidth="1"/>
    <col min="5" max="5" width="17.69921875" customWidth="1"/>
    <col min="9" max="9" width="21" customWidth="1"/>
    <col min="10" max="10" width="15.296875" customWidth="1"/>
    <col min="11" max="11" width="18.09765625" customWidth="1"/>
    <col min="12" max="12" width="32" customWidth="1"/>
    <col min="13" max="14" width="8.8984375" customWidth="1"/>
    <col min="15" max="20" width="8.8984375" hidden="1" customWidth="1"/>
  </cols>
  <sheetData>
    <row r="1" spans="1:20">
      <c r="A1" s="15" t="s">
        <v>65</v>
      </c>
      <c r="B1" s="15"/>
      <c r="C1" s="15"/>
      <c r="D1" s="15"/>
      <c r="E1" s="15"/>
      <c r="F1" s="15"/>
      <c r="G1" s="15"/>
      <c r="H1" s="15"/>
      <c r="I1" s="15"/>
      <c r="J1" s="15"/>
      <c r="K1" s="15"/>
      <c r="L1" s="15"/>
      <c r="M1" s="15"/>
      <c r="N1" s="15"/>
      <c r="O1" s="15"/>
      <c r="P1" s="15"/>
      <c r="Q1" s="15"/>
      <c r="R1" s="15"/>
      <c r="S1" s="15"/>
      <c r="T1" s="15"/>
    </row>
    <row r="2" spans="1:20">
      <c r="A2" s="15"/>
      <c r="B2" s="15"/>
      <c r="C2" s="15"/>
      <c r="D2" s="15"/>
      <c r="E2" s="15"/>
      <c r="F2" s="15"/>
      <c r="G2" s="15"/>
      <c r="H2" s="15"/>
      <c r="I2" s="15"/>
      <c r="J2" s="15"/>
      <c r="K2" s="15"/>
      <c r="L2" s="15"/>
      <c r="M2" s="15"/>
      <c r="N2" s="15"/>
      <c r="O2" s="15"/>
      <c r="P2" s="15"/>
      <c r="Q2" s="15"/>
      <c r="R2" s="15"/>
      <c r="S2" s="15"/>
      <c r="T2" s="15"/>
    </row>
    <row r="5" spans="1:20">
      <c r="A5" s="16" t="s">
        <v>71</v>
      </c>
      <c r="B5" s="16"/>
      <c r="C5" s="16"/>
      <c r="D5" s="16"/>
      <c r="E5" s="16"/>
      <c r="I5" s="19" t="s">
        <v>96</v>
      </c>
      <c r="J5" s="19"/>
      <c r="K5" s="19"/>
      <c r="L5" s="19"/>
    </row>
    <row r="6" spans="1:20">
      <c r="A6" s="1" t="s">
        <v>66</v>
      </c>
      <c r="B6" s="1" t="s">
        <v>67</v>
      </c>
      <c r="C6" s="1" t="s">
        <v>68</v>
      </c>
      <c r="D6" s="1" t="s">
        <v>69</v>
      </c>
      <c r="E6" s="1" t="s">
        <v>70</v>
      </c>
      <c r="I6" s="1" t="s">
        <v>97</v>
      </c>
      <c r="J6" s="1" t="s">
        <v>67</v>
      </c>
      <c r="K6" s="1" t="s">
        <v>68</v>
      </c>
      <c r="L6" s="1" t="s">
        <v>70</v>
      </c>
    </row>
    <row r="7" spans="1:20">
      <c r="A7" t="s">
        <v>72</v>
      </c>
      <c r="B7">
        <v>205</v>
      </c>
      <c r="C7">
        <v>15</v>
      </c>
      <c r="D7">
        <v>190</v>
      </c>
      <c r="E7" s="4">
        <f>C7/B7</f>
        <v>7.3170731707317069E-2</v>
      </c>
      <c r="I7" t="s">
        <v>1</v>
      </c>
      <c r="J7">
        <f>COUNTIF([1]RAW_DATA!$C:$C,"LinkedIn")</f>
        <v>75</v>
      </c>
      <c r="K7">
        <f>COUNTIFS([1]RAW_DATA!$C:$C,"LinkedIn",[1]RAW_DATA!$I:$I,"&gt;"&amp;0)</f>
        <v>1</v>
      </c>
      <c r="L7" s="4">
        <f>K7/J7</f>
        <v>1.3333333333333334E-2</v>
      </c>
    </row>
    <row r="8" spans="1:20">
      <c r="A8" t="s">
        <v>64</v>
      </c>
      <c r="B8">
        <v>25</v>
      </c>
      <c r="C8">
        <v>8</v>
      </c>
      <c r="D8">
        <v>17</v>
      </c>
      <c r="E8" s="4">
        <f>C8/B8</f>
        <v>0.32</v>
      </c>
      <c r="I8" t="s">
        <v>18</v>
      </c>
      <c r="J8">
        <f>COUNTIF([1]RAW_DATA!$C:$C,"Naukri")</f>
        <v>76</v>
      </c>
      <c r="K8">
        <f>COUNTIFS([1]RAW_DATA!$C:$C,"Naukri",[1]RAW_DATA!$I:$I,"&gt;"&amp;0)</f>
        <v>15</v>
      </c>
      <c r="L8" s="4">
        <f>K8/J8</f>
        <v>0.19736842105263158</v>
      </c>
    </row>
    <row r="9" spans="1:20">
      <c r="A9" t="s">
        <v>73</v>
      </c>
      <c r="B9">
        <v>230</v>
      </c>
      <c r="C9">
        <v>23</v>
      </c>
      <c r="D9">
        <v>207</v>
      </c>
      <c r="E9" s="4">
        <f>C9/B9</f>
        <v>0.1</v>
      </c>
      <c r="I9" t="s">
        <v>22</v>
      </c>
      <c r="J9">
        <f>COUNTIF([1]RAW_DATA!$C:$C,"Foundit")</f>
        <v>66</v>
      </c>
      <c r="K9">
        <f>COUNTIFS([1]RAW_DATA!$C:$C,"Foundit",[1]RAW_DATA!$I:$I,"&gt;"&amp;0)</f>
        <v>2</v>
      </c>
      <c r="L9" s="4">
        <f>K9/J9</f>
        <v>3.0303030303030304E-2</v>
      </c>
    </row>
    <row r="10" spans="1:20">
      <c r="I10" t="s">
        <v>23</v>
      </c>
      <c r="J10">
        <f>COUNTIF([1]RAW_DATA!$C:$C,"Internshala")</f>
        <v>3</v>
      </c>
      <c r="K10">
        <f>COUNTIFS([1]RAW_DATA!$C:$C,"Internshala",[1]RAW_DATA!$I:$I,"&gt;"&amp;0)</f>
        <v>3</v>
      </c>
      <c r="L10" s="4">
        <f>K10/J10</f>
        <v>1</v>
      </c>
    </row>
    <row r="11" spans="1:20">
      <c r="I11" t="s">
        <v>24</v>
      </c>
      <c r="J11">
        <f>COUNTIF([1]RAW_DATA!$C:$C,"Unstop")</f>
        <v>10</v>
      </c>
      <c r="K11">
        <f>COUNTIFS([1]RAW_DATA!$C:$C,"Unstop",[1]RAW_DATA!$I:$I,"&gt;"&amp;0)</f>
        <v>2</v>
      </c>
      <c r="L11" s="4">
        <f>K11/J11</f>
        <v>0.2</v>
      </c>
    </row>
    <row r="12" spans="1:20">
      <c r="L12" s="4"/>
    </row>
    <row r="14" spans="1:20">
      <c r="A14" s="17" t="s">
        <v>74</v>
      </c>
      <c r="B14" s="17"/>
      <c r="C14" s="17"/>
      <c r="D14" s="17"/>
      <c r="E14" s="17"/>
      <c r="I14" s="20" t="s">
        <v>99</v>
      </c>
      <c r="J14" s="20"/>
      <c r="K14" s="20"/>
      <c r="L14" s="20"/>
    </row>
    <row r="15" spans="1:20">
      <c r="A15" s="1" t="s">
        <v>75</v>
      </c>
      <c r="B15" s="1" t="s">
        <v>76</v>
      </c>
      <c r="I15" s="1" t="s">
        <v>75</v>
      </c>
      <c r="J15" s="1" t="s">
        <v>76</v>
      </c>
    </row>
    <row r="16" spans="1:20">
      <c r="A16" t="s">
        <v>80</v>
      </c>
      <c r="B16" t="s">
        <v>79</v>
      </c>
      <c r="I16" t="s">
        <v>100</v>
      </c>
      <c r="J16" s="3">
        <v>35000</v>
      </c>
    </row>
    <row r="17" spans="1:12">
      <c r="A17" t="s">
        <v>81</v>
      </c>
      <c r="B17" t="s">
        <v>82</v>
      </c>
      <c r="I17" t="s">
        <v>101</v>
      </c>
      <c r="J17" s="3">
        <v>10000</v>
      </c>
    </row>
    <row r="18" spans="1:12">
      <c r="A18" t="s">
        <v>77</v>
      </c>
      <c r="B18" t="s">
        <v>83</v>
      </c>
      <c r="I18" t="s">
        <v>102</v>
      </c>
      <c r="J18" s="3">
        <v>11000</v>
      </c>
    </row>
    <row r="19" spans="1:12">
      <c r="A19" t="s">
        <v>88</v>
      </c>
      <c r="B19" t="s">
        <v>87</v>
      </c>
    </row>
    <row r="20" spans="1:12" ht="14.4">
      <c r="A20" t="s">
        <v>89</v>
      </c>
      <c r="B20" t="s">
        <v>86</v>
      </c>
      <c r="I20" s="5" t="s">
        <v>103</v>
      </c>
      <c r="J20" s="5"/>
      <c r="K20" s="5"/>
      <c r="L20" s="5"/>
    </row>
    <row r="21" spans="1:12" ht="14.4">
      <c r="A21" t="s">
        <v>84</v>
      </c>
      <c r="B21" t="s">
        <v>92</v>
      </c>
      <c r="I21" s="5" t="s">
        <v>104</v>
      </c>
    </row>
    <row r="22" spans="1:12">
      <c r="A22" t="s">
        <v>85</v>
      </c>
      <c r="B22" t="s">
        <v>93</v>
      </c>
    </row>
    <row r="23" spans="1:12">
      <c r="A23" t="s">
        <v>78</v>
      </c>
      <c r="B23" t="s">
        <v>94</v>
      </c>
    </row>
    <row r="24" spans="1:12">
      <c r="A24" t="s">
        <v>90</v>
      </c>
      <c r="B24" t="s">
        <v>91</v>
      </c>
    </row>
    <row r="26" spans="1:12" ht="14.4">
      <c r="A26" s="18" t="s">
        <v>95</v>
      </c>
      <c r="B26" s="18"/>
      <c r="C26" s="18"/>
      <c r="D26" s="18"/>
      <c r="E26" s="18"/>
    </row>
  </sheetData>
  <mergeCells count="6">
    <mergeCell ref="A1:T2"/>
    <mergeCell ref="A5:E5"/>
    <mergeCell ref="A14:E14"/>
    <mergeCell ref="A26:E26"/>
    <mergeCell ref="I5:L5"/>
    <mergeCell ref="I14:L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opLeftCell="A10" zoomScaleNormal="100" workbookViewId="0">
      <selection activeCell="I27" sqref="I27"/>
    </sheetView>
  </sheetViews>
  <sheetFormatPr defaultRowHeight="13.8"/>
  <cols>
    <col min="1" max="1" width="13.796875" customWidth="1"/>
    <col min="2" max="2" width="15" customWidth="1"/>
    <col min="3" max="3" width="14.19921875" customWidth="1"/>
    <col min="4" max="4" width="12.69921875" customWidth="1"/>
    <col min="5" max="5" width="15.09765625" customWidth="1"/>
    <col min="6" max="6" width="14.69921875" customWidth="1"/>
    <col min="7" max="7" width="11.09765625" customWidth="1"/>
    <col min="10" max="10" width="12.3984375" customWidth="1"/>
    <col min="11" max="11" width="14.09765625" style="8" customWidth="1"/>
    <col min="12" max="12" width="15.8984375" style="8" customWidth="1"/>
    <col min="13" max="13" width="18.3984375" style="9" customWidth="1"/>
    <col min="14" max="14" width="15.69921875" style="9" customWidth="1"/>
  </cols>
  <sheetData>
    <row r="1" spans="1:14">
      <c r="A1" s="21" t="s">
        <v>150</v>
      </c>
      <c r="B1" s="22"/>
      <c r="C1" s="22"/>
      <c r="D1" s="22"/>
      <c r="E1" s="22"/>
      <c r="F1" s="22"/>
      <c r="G1" s="22"/>
      <c r="H1" s="22"/>
      <c r="I1" s="22"/>
      <c r="J1" s="22"/>
      <c r="K1" s="22"/>
      <c r="L1" s="22"/>
      <c r="M1" s="22"/>
      <c r="N1" s="22"/>
    </row>
    <row r="2" spans="1:14">
      <c r="A2" s="22"/>
      <c r="B2" s="22"/>
      <c r="C2" s="22"/>
      <c r="D2" s="22"/>
      <c r="E2" s="22"/>
      <c r="F2" s="22"/>
      <c r="G2" s="22"/>
      <c r="H2" s="22"/>
      <c r="I2" s="22"/>
      <c r="J2" s="22"/>
      <c r="K2" s="22"/>
      <c r="L2" s="22"/>
      <c r="M2" s="22"/>
      <c r="N2" s="22"/>
    </row>
    <row r="5" spans="1:14">
      <c r="A5" s="19" t="s">
        <v>105</v>
      </c>
      <c r="B5" s="19"/>
      <c r="C5" s="19"/>
      <c r="D5" s="19"/>
      <c r="E5" s="19"/>
      <c r="F5" s="19"/>
      <c r="J5" s="24" t="s">
        <v>114</v>
      </c>
      <c r="K5" s="24"/>
      <c r="L5" s="24"/>
      <c r="M5" s="24"/>
      <c r="N5" s="24"/>
    </row>
    <row r="6" spans="1:14">
      <c r="A6" s="1" t="s">
        <v>106</v>
      </c>
      <c r="B6" s="1" t="s">
        <v>107</v>
      </c>
      <c r="C6" s="1" t="s">
        <v>108</v>
      </c>
      <c r="D6" s="1" t="s">
        <v>109</v>
      </c>
      <c r="E6" s="1" t="s">
        <v>64</v>
      </c>
      <c r="F6" s="1"/>
      <c r="J6" s="1" t="s">
        <v>0</v>
      </c>
      <c r="K6" s="10" t="s">
        <v>115</v>
      </c>
      <c r="L6" s="10" t="s">
        <v>116</v>
      </c>
      <c r="M6" s="11" t="s">
        <v>117</v>
      </c>
      <c r="N6" s="11" t="s">
        <v>118</v>
      </c>
    </row>
    <row r="7" spans="1:14">
      <c r="A7" t="s">
        <v>3</v>
      </c>
      <c r="B7">
        <f>COUNTIF([1]RAW_DATA!$F:$F,"Bengaluru")</f>
        <v>78</v>
      </c>
      <c r="C7" s="4">
        <f>B7/COUNTA([1]RAW_DATA!$A:$A)</f>
        <v>0.33766233766233766</v>
      </c>
      <c r="D7">
        <f>COUNTIFS([1]RAW_DATA!$F:$F,"Bengaluru",[1]RAW_DATA!$AZ:$AZ,"Fulltime")</f>
        <v>71</v>
      </c>
      <c r="E7">
        <f>COUNTIFS([1]RAW_DATA!$F:$F,"Bengaluru",[1]RAW_DATA!$AZ:$AZ,"Internship")</f>
        <v>7</v>
      </c>
      <c r="J7" t="s">
        <v>3</v>
      </c>
      <c r="K7" s="8">
        <f>AVERAGEIFS([1]RAW_DATA!$G:$G,
            [1]RAW_DATA!$F:$F,"Bengaluru",
            [1]RAW_DATA!$G:$G,"&gt;"&amp;-1)</f>
        <v>2.2638888888888888</v>
      </c>
      <c r="L7" s="8">
        <f>AVERAGEIFS([1]RAW_DATA!$H:$H,
            [1]RAW_DATA!$F:$F,"Bengaluru",
            [1]RAW_DATA!$H:$H,"&gt;"&amp;-1)</f>
        <v>4.5373134328358207</v>
      </c>
      <c r="M7" s="9">
        <f>COUNTIFS([1]RAW_DATA!$F:$F,"Bengaluru", [1]RAW_DATA!$G:$G,0) /COUNTIF([1]RAW_DATA!$F:$F,"Bengaluru")</f>
        <v>0.34615384615384615</v>
      </c>
      <c r="N7" s="9">
        <f>COUNTIFS([1]RAW_DATA!$F:$F,"Bengaluru",
          [1]RAW_DATA!$H:$H,"&lt;="&amp;2)
/COUNTIF([1]RAW_DATA!$F:$F,"Bengaluru")</f>
        <v>0.26923076923076922</v>
      </c>
    </row>
    <row r="8" spans="1:14">
      <c r="A8" t="s">
        <v>5</v>
      </c>
      <c r="B8">
        <f>COUNTIF([1]RAW_DATA!$F:$F,"Hyderabad")</f>
        <v>28</v>
      </c>
      <c r="C8" s="4">
        <f>B8/COUNTA([1]RAW_DATA!$A:$A)</f>
        <v>0.12121212121212122</v>
      </c>
      <c r="D8">
        <f>COUNTIFS([1]RAW_DATA!$F:$F,"Hyderabad",[1]RAW_DATA!$AZ:$AZ,"Fulltime")</f>
        <v>28</v>
      </c>
      <c r="E8">
        <f>COUNTIFS([1]RAW_DATA!$F:$F,"Hyderabad",[1]RAW_DATA!$AZ:$AZ,"Internship")</f>
        <v>0</v>
      </c>
      <c r="J8" t="s">
        <v>119</v>
      </c>
      <c r="K8" s="8">
        <f>AVERAGEIFS([1]RAW_DATA!$G:$G,
            [1]RAW_DATA!$F:$F,"Hyderabad",
            [1]RAW_DATA!$G:$G,"&gt;"&amp;-1)</f>
        <v>2.3703703703703702</v>
      </c>
      <c r="L8" s="8">
        <f>AVERAGEIFS([1]RAW_DATA!$H:$H,
            [1]RAW_DATA!$F:$F,"Hyderabad",
            [1]RAW_DATA!$H:$H,"&gt;"&amp;-1)</f>
        <v>5.16</v>
      </c>
      <c r="M8" s="9">
        <f>COUNTIFS([1]RAW_DATA!$F:$F,"Hyderabad", [1]RAW_DATA!$G:$G,0) /COUNTIF([1]RAW_DATA!$F:$F,"Hyderabad")</f>
        <v>0.4642857142857143</v>
      </c>
      <c r="N8" s="9">
        <f>COUNTIFS([1]RAW_DATA!$F:$F,"Hyderabad",
          [1]RAW_DATA!$H:$H,"&lt;="&amp;2)
/COUNTIF([1]RAW_DATA!$F:$F,"Hyderabad")</f>
        <v>0.32142857142857145</v>
      </c>
    </row>
    <row r="9" spans="1:14">
      <c r="A9" t="s">
        <v>13</v>
      </c>
      <c r="B9">
        <f>COUNTIF([1]RAW_DATA!$F:$F,"Pune")</f>
        <v>24</v>
      </c>
      <c r="C9" s="4">
        <f>B9/COUNTA([1]RAW_DATA!$A:$A)</f>
        <v>0.1038961038961039</v>
      </c>
      <c r="D9">
        <f>COUNTIFS([1]RAW_DATA!$F:$F,"Pune",[1]RAW_DATA!$AZ:$AZ,"Fulltime")</f>
        <v>22</v>
      </c>
      <c r="E9">
        <f>COUNTIFS([1]RAW_DATA!$F:$F,"Pune",[1]RAW_DATA!$AZ:$AZ,"Internship")</f>
        <v>2</v>
      </c>
      <c r="J9" t="s">
        <v>13</v>
      </c>
      <c r="K9" s="8">
        <f>AVERAGEIFS([1]RAW_DATA!$G:$G,
            [1]RAW_DATA!$F:$F,"Pune",
            [1]RAW_DATA!$G:$G,"&gt;"&amp;-1)</f>
        <v>1.1428571428571428</v>
      </c>
      <c r="L9" s="8">
        <f>AVERAGEIFS([1]RAW_DATA!$H:$H,
            [1]RAW_DATA!$F:$F,"Pune",
            [1]RAW_DATA!$H:$H,"&gt;"&amp;-1)</f>
        <v>3.15</v>
      </c>
      <c r="M9" s="9">
        <f>COUNTIFS([1]RAW_DATA!$F:$F,"Pune", [1]RAW_DATA!$G:$G,0) /COUNTIF([1]RAW_DATA!$F:$F,"Pune")</f>
        <v>0.66666666666666663</v>
      </c>
      <c r="N9" s="9">
        <f>COUNTIFS([1]RAW_DATA!$F:$F,"Pune",
          [1]RAW_DATA!$H:$H,"&lt;="&amp;2)
/COUNTIF([1]RAW_DATA!$F:$F,"Pune")</f>
        <v>0.58333333333333337</v>
      </c>
    </row>
    <row r="10" spans="1:14">
      <c r="A10" t="s">
        <v>6</v>
      </c>
      <c r="B10">
        <f>COUNTIF([1]RAW_DATA!$F:$F,"Mumbai")</f>
        <v>19</v>
      </c>
      <c r="C10" s="4">
        <f>B10/COUNTA([1]RAW_DATA!$A:$A)</f>
        <v>8.2251082251082255E-2</v>
      </c>
      <c r="D10">
        <f>COUNTIFS([1]RAW_DATA!$F:$F,"Mumbai",[1]RAW_DATA!$AZ:$AZ,"Fulltime")</f>
        <v>16</v>
      </c>
      <c r="E10">
        <f>COUNTIFS([1]RAW_DATA!$F:$F,"Mumbai",[1]RAW_DATA!$AZ:$AZ,"Internship")</f>
        <v>3</v>
      </c>
      <c r="J10" t="s">
        <v>6</v>
      </c>
      <c r="K10" s="8">
        <f>AVERAGEIFS([1]RAW_DATA!$G:$G,
            [1]RAW_DATA!$F:$F,"Mumbai",
            [1]RAW_DATA!$G:$G,"&gt;"&amp;-1)</f>
        <v>1.0588235294117647</v>
      </c>
      <c r="L10" s="8">
        <f>AVERAGEIFS([1]RAW_DATA!$H:$H, [1]RAW_DATA!$F:$F,"Mumbai", [1]RAW_DATA!$H:$H,"&gt;"&amp;-1)</f>
        <v>3.3529411764705883</v>
      </c>
      <c r="M10" s="9">
        <f>COUNTIFS([1]RAW_DATA!$F:$F,"Mumbai", [1]RAW_DATA!$G:$G,0) /COUNTIF([1]RAW_DATA!$F:$F,"Mumbai")</f>
        <v>0.52631578947368418</v>
      </c>
      <c r="N10" s="9">
        <f>COUNTIFS([1]RAW_DATA!$F:$F,"Mumbai",
          [1]RAW_DATA!$H:$H,"&lt;="&amp;2)
/COUNTIF([1]RAW_DATA!$F:$F,"Mumbai")</f>
        <v>0.36842105263157893</v>
      </c>
    </row>
    <row r="11" spans="1:14">
      <c r="A11" t="s">
        <v>16</v>
      </c>
      <c r="B11">
        <f>COUNTIF([1]RAW_DATA!$F:$F,"Chennai")</f>
        <v>16</v>
      </c>
      <c r="C11" s="4">
        <f>B11/COUNTA([1]RAW_DATA!$A:$A)</f>
        <v>6.9264069264069264E-2</v>
      </c>
      <c r="D11">
        <f>COUNTIFS([1]RAW_DATA!$F:$F,"Chennai",[1]RAW_DATA!$AZ:$AZ,"Fulltime")</f>
        <v>14</v>
      </c>
      <c r="E11">
        <f>COUNTIFS([1]RAW_DATA!$F:$F,"Chennai",[1]RAW_DATA!$AZ:$AZ,"Internship")</f>
        <v>2</v>
      </c>
      <c r="J11" t="s">
        <v>16</v>
      </c>
      <c r="K11" s="8">
        <f>AVERAGEIFS([1]RAW_DATA!$G:$G,
            [1]RAW_DATA!$F:$F,"Chennai",
            [1]RAW_DATA!$G:$G,"&gt;"&amp;-1)</f>
        <v>2.1333333333333333</v>
      </c>
      <c r="L11" s="8">
        <f>AVERAGEIFS([1]RAW_DATA!$H:$H,
            [1]RAW_DATA!$F:$F,"Chennai",
            [1]RAW_DATA!$H:$H,"&gt;"&amp;-1)</f>
        <v>4.2857142857142856</v>
      </c>
      <c r="M11" s="9">
        <f>COUNTIFS([1]RAW_DATA!$F:$F,"Chennai", [1]RAW_DATA!$G:$G,0) /COUNTIF([1]RAW_DATA!$F:$F,"Chennai")</f>
        <v>0.375</v>
      </c>
      <c r="N11" s="9">
        <f>COUNTIFS([1]RAW_DATA!$F:$F,"Chennai",
          [1]RAW_DATA!$H:$H,"&lt;="&amp;2)
/COUNTIF([1]RAW_DATA!$F:$F,"Chennai")</f>
        <v>0.375</v>
      </c>
    </row>
    <row r="12" spans="1:14">
      <c r="A12" t="s">
        <v>111</v>
      </c>
      <c r="B12">
        <f>COUNTIF([1]RAW_DATA!$F:$F,"Delhi")+COUNTIF([1]RAW_DATA!$F:$F,"Noida")+COUNTIF([1]RAW_DATA!$F:$F,"Gurgaon")</f>
        <v>56</v>
      </c>
      <c r="C12" s="4">
        <f>B12/COUNTA([1]RAW_DATA!$A:$A)</f>
        <v>0.24242424242424243</v>
      </c>
      <c r="D12">
        <f>COUNTIFS([1]RAW_DATA!$F:$F,"Delhi",[1]RAW_DATA!$AZ:$AZ,"Fulltime")+COUNTIFS([1]RAW_DATA!$F:$F,"Noida",[1]RAW_DATA!$AZ:$AZ,"Fulltime")+COUNTIFS([1]RAW_DATA!$F:$F,"Gurgaon",[1]RAW_DATA!$AZ:$AZ,"Fulltime")</f>
        <v>53</v>
      </c>
      <c r="E12">
        <f>COUNTIFS([1]RAW_DATA!$F:$F,"Delhi",[1]RAW_DATA!$AZ:$AZ,"Internship")+COUNTIFS([1]RAW_DATA!$F:$F,"Noida",[1]RAW_DATA!$AZ:$AZ,"Internship")+COUNTIFS([1]RAW_DATA!$F:$F,"Gurgaon",[1]RAW_DATA!$AZ:$AZ,"Internship")</f>
        <v>3</v>
      </c>
      <c r="J12" t="s">
        <v>111</v>
      </c>
      <c r="K12" s="8" t="e" cm="1">
        <f t="array" aca="1" ref="K12" ca="1">AVERAGE(_xlfn._xlws.FILTER([1]RAW_DATA!$G:$G,
               (([1]RAW_DATA!$F:$F="Delhi")+
                ([1]RAW_DATA!$F:$F="Gurgaon")+
                ([1]RAW_DATA!$F:$F="Noida"))*
               ([1]RAW_DATA!$G:$G&gt;-1)))</f>
        <v>#NAME?</v>
      </c>
      <c r="L12" s="8" t="e" cm="1">
        <f t="array" aca="1" ref="L12" ca="1">AVERAGE(
    _xlfn._xlws.FILTER(
        [1]RAW_DATA!$H:$H,
        (([1]RAW_DATA!$F:$F="Delhi")+
         ([1]RAW_DATA!$F:$F="Gurgaon")+
         ([1]RAW_DATA!$F:$F="Noida"))*
        ([1]RAW_DATA!$H:$H&gt;-1)
    )
)</f>
        <v>#NAME?</v>
      </c>
      <c r="M12" s="9">
        <f>(
COUNTIFS([1]RAW_DATA!$F:$F,"Delhi",[1]RAW_DATA!$G:$G,0)
+COUNTIFS([1]RAW_DATA!$F:$F,"Gurgaon",[1]RAW_DATA!$G:$G,0)
+COUNTIFS([1]RAW_DATA!$F:$F,"Noida",[1]RAW_DATA!$G:$G,0)
)
/
(
COUNTIF([1]RAW_DATA!$F:$F,"Delhi")
+COUNTIF([1]RAW_DATA!$F:$F,"Gurgaon")
+COUNTIF([1]RAW_DATA!$F:$F,"Noida")
)</f>
        <v>0.5535714285714286</v>
      </c>
      <c r="N12" s="9">
        <f>(
COUNTIFS([1]RAW_DATA!$F:$F,"Delhi",[1]RAW_DATA!$H:$H,"&lt;=2")
+COUNTIFS([1]RAW_DATA!$F:$F,"Gurgaon",[1]RAW_DATA!$H:$H,"&lt;=2")
+COUNTIFS([1]RAW_DATA!$F:$F,"Noida",[1]RAW_DATA!$H:$H,"&lt;=2")
)
/
(
COUNTIF([1]RAW_DATA!$F:$F,"Delhi")
+COUNTIF([1]RAW_DATA!$F:$F,"Gurgaon")
+COUNTIF([1]RAW_DATA!$F:$F,"Noida")
)</f>
        <v>0.39285714285714285</v>
      </c>
    </row>
    <row r="13" spans="1:14">
      <c r="A13" t="s">
        <v>98</v>
      </c>
      <c r="B13">
        <f>SUM(B7:B12)</f>
        <v>221</v>
      </c>
      <c r="C13" s="4">
        <f>B13/COUNTA([1]RAW_DATA!$A:$A)</f>
        <v>0.95670995670995673</v>
      </c>
      <c r="D13">
        <f>SUM(D7:D12)</f>
        <v>204</v>
      </c>
      <c r="E13">
        <f>SUM(E7:E12)</f>
        <v>17</v>
      </c>
    </row>
    <row r="15" spans="1:14" ht="14.4">
      <c r="A15" s="7" t="s">
        <v>112</v>
      </c>
      <c r="B15" s="7"/>
      <c r="C15" s="7"/>
      <c r="D15" s="7"/>
      <c r="E15" s="7"/>
      <c r="F15" s="7"/>
      <c r="G15" s="7"/>
    </row>
    <row r="16" spans="1:14" ht="14.4">
      <c r="A16" s="7" t="s">
        <v>113</v>
      </c>
      <c r="B16" s="7"/>
      <c r="C16" s="7"/>
      <c r="D16" s="7"/>
      <c r="E16" s="7"/>
      <c r="F16" s="7"/>
      <c r="G16" s="7"/>
    </row>
    <row r="18" spans="1:14">
      <c r="A18" s="23" t="s">
        <v>110</v>
      </c>
      <c r="B18" s="23"/>
      <c r="C18" s="23"/>
      <c r="D18" s="23"/>
      <c r="E18" s="23"/>
      <c r="F18" s="23"/>
      <c r="J18" s="25" t="s">
        <v>120</v>
      </c>
      <c r="K18" s="25"/>
      <c r="L18" s="25"/>
      <c r="M18" s="25"/>
      <c r="N18" s="25"/>
    </row>
    <row r="19" spans="1:14">
      <c r="A19" s="1" t="s">
        <v>0</v>
      </c>
      <c r="B19" s="1" t="s">
        <v>2</v>
      </c>
      <c r="C19" s="1" t="s">
        <v>4</v>
      </c>
      <c r="D19" s="1" t="s">
        <v>8</v>
      </c>
      <c r="E19" s="1" t="s">
        <v>9</v>
      </c>
      <c r="F19" s="1" t="s">
        <v>7</v>
      </c>
      <c r="J19" s="1" t="s">
        <v>0</v>
      </c>
      <c r="K19" s="10" t="s">
        <v>121</v>
      </c>
      <c r="L19" s="10" t="s">
        <v>122</v>
      </c>
      <c r="M19" s="11" t="s">
        <v>123</v>
      </c>
      <c r="N19" s="11" t="s">
        <v>140</v>
      </c>
    </row>
    <row r="20" spans="1:14">
      <c r="A20" t="s">
        <v>3</v>
      </c>
      <c r="B20">
        <f>COUNTIFS([1]RAW_DATA!$F:$F,"Bengaluru",[1]RAW_DATA!$D:$D,"Data Analyst")</f>
        <v>19</v>
      </c>
      <c r="C20">
        <f>COUNTIFS([1]RAW_DATA!$F:$F,"Bengaluru",[1]RAW_DATA!$D:$D,"Business Analyst")</f>
        <v>21</v>
      </c>
      <c r="D20">
        <f>COUNTIFS([1]RAW_DATA!$F:$F,"Bengaluru",[1]RAW_DATA!$D:$D,"Data Engineer")</f>
        <v>19</v>
      </c>
      <c r="E20">
        <f>COUNTIFS([1]RAW_DATA!$F:$F,"Bengaluru",[1]RAW_DATA!$D:$D,"BI Developer")</f>
        <v>12</v>
      </c>
      <c r="F20">
        <f>COUNTIFS([1]RAW_DATA!$F:$F,"Bengaluru",[1]RAW_DATA!$D:$D,"MIS Analyst")</f>
        <v>7</v>
      </c>
      <c r="J20" t="s">
        <v>3</v>
      </c>
      <c r="K20" s="8" t="s">
        <v>125</v>
      </c>
      <c r="L20" s="8" t="s">
        <v>124</v>
      </c>
      <c r="M20" s="9" t="s">
        <v>126</v>
      </c>
      <c r="N20" s="9" t="s">
        <v>141</v>
      </c>
    </row>
    <row r="21" spans="1:14">
      <c r="A21" t="s">
        <v>111</v>
      </c>
      <c r="B21">
        <f>COUNTIFS([1]RAW_DATA!$F:$F,"Delhi",[1]RAW_DATA!$D:$D,"Data Analyst")+COUNTIFS([1]RAW_DATA!$F:$F,"Gurgaon",[1]RAW_DATA!$D:$D,"Data Analyst")+COUNTIFS([1]RAW_DATA!$F:$F,"Noida",[1]RAW_DATA!$D:$D,"Data Analyst")</f>
        <v>19</v>
      </c>
      <c r="C21">
        <f>COUNTIFS([1]RAW_DATA!$F:$F,"Delhi",[1]RAW_DATA!$D:$D,"Business Analyst")+COUNTIFS([1]RAW_DATA!$F:$F,"Gurgaon",[1]RAW_DATA!$D:$D,"Business Analyst")+COUNTIFS([1]RAW_DATA!$F:$F,"Noida",[1]RAW_DATA!$D:$D,"Business Analyst")</f>
        <v>10</v>
      </c>
      <c r="D21">
        <f>COUNTIFS([1]RAW_DATA!$F:$F,"Delhi",[1]RAW_DATA!$D:$D,"Data Engineer")+COUNTIFS([1]RAW_DATA!$F:$F,"Gurgaon",[1]RAW_DATA!$D:$D,"Data Engineer")+COUNTIFS([1]RAW_DATA!$F:$F,"Noida",[1]RAW_DATA!$D:$D,"Data Engineer")</f>
        <v>16</v>
      </c>
      <c r="E21">
        <f>COUNTIFS([1]RAW_DATA!$F:$F,"Delhi",[1]RAW_DATA!$D:$D,"BI Developer")+COUNTIFS([1]RAW_DATA!$F:$F,"Gurgaon",[1]RAW_DATA!$D:$D,"BI Developer")+COUNTIFS([1]RAW_DATA!$F:$F,"Noida",[1]RAW_DATA!$D:$D,"BI Developer")</f>
        <v>5</v>
      </c>
      <c r="F21">
        <f>COUNTIFS([1]RAW_DATA!$F:$F,"Delhi",[1]RAW_DATA!$D:$D,"MIS Analyst")+COUNTIFS([1]RAW_DATA!$F:$F,"Gurgaon",[1]RAW_DATA!$D:$D,"MIS Analyst")+COUNTIFS([1]RAW_DATA!$F:$F,"Noida",[1]RAW_DATA!$D:$D,"MIS Analyst")</f>
        <v>6</v>
      </c>
      <c r="J21" t="s">
        <v>5</v>
      </c>
      <c r="K21" s="8" t="s">
        <v>127</v>
      </c>
      <c r="L21" s="8" t="s">
        <v>128</v>
      </c>
      <c r="M21" s="9" t="s">
        <v>129</v>
      </c>
      <c r="N21" s="9" t="s">
        <v>142</v>
      </c>
    </row>
    <row r="22" spans="1:14">
      <c r="A22" t="s">
        <v>5</v>
      </c>
      <c r="B22">
        <f>COUNTIFS([1]RAW_DATA!$F:$F,"Hyderabad",[1]RAW_DATA!$D:$D,"Data Analyst")</f>
        <v>8</v>
      </c>
      <c r="C22">
        <f>COUNTIFS([1]RAW_DATA!$F:$F,"Hyderabad",[1]RAW_DATA!$D:$D,"Business Analyst")</f>
        <v>8</v>
      </c>
      <c r="D22">
        <f>COUNTIFS([1]RAW_DATA!$F:$F,"Hyderabad",[1]RAW_DATA!$D:$D,"Data Engineer")</f>
        <v>6</v>
      </c>
      <c r="E22">
        <f>COUNTIFS([1]RAW_DATA!$F:$F,"Hyderabad",[1]RAW_DATA!$D:$D,"BI Developer")</f>
        <v>4</v>
      </c>
      <c r="F22">
        <f>COUNTIFS([1]RAW_DATA!$F:$F,"Hyderabad",[1]RAW_DATA!$D:$D,"MIS Analyst")</f>
        <v>1</v>
      </c>
      <c r="J22" t="s">
        <v>13</v>
      </c>
      <c r="K22" s="8" t="s">
        <v>130</v>
      </c>
      <c r="L22" s="8" t="s">
        <v>131</v>
      </c>
      <c r="M22" s="9" t="s">
        <v>132</v>
      </c>
      <c r="N22" s="9" t="s">
        <v>143</v>
      </c>
    </row>
    <row r="23" spans="1:14">
      <c r="A23" t="s">
        <v>13</v>
      </c>
      <c r="B23">
        <f>COUNTIFS([1]RAW_DATA!$F:$F,"Pune",[1]RAW_DATA!$D:$D,"Data Analyst")</f>
        <v>6</v>
      </c>
      <c r="C23">
        <f>COUNTIFS([1]RAW_DATA!$F:$F,"Pune",[1]RAW_DATA!$D:$D,"Business Analyst")</f>
        <v>7</v>
      </c>
      <c r="D23">
        <f>COUNTIFS([1]RAW_DATA!$F:$F,"Pune",[1]RAW_DATA!$D:$D,"Data Engineer")</f>
        <v>7</v>
      </c>
      <c r="E23">
        <f>COUNTIFS([1]RAW_DATA!$F:$F,"Pune",[1]RAW_DATA!$D:$D,"BI Developer")</f>
        <v>0</v>
      </c>
      <c r="F23">
        <f>COUNTIFS([1]RAW_DATA!$F:$F,"Pune",[1]RAW_DATA!$D:$D,"MIS Analyst")</f>
        <v>4</v>
      </c>
      <c r="J23" t="s">
        <v>6</v>
      </c>
      <c r="K23" s="8" t="s">
        <v>133</v>
      </c>
      <c r="L23" s="8" t="s">
        <v>134</v>
      </c>
      <c r="M23" s="9" t="s">
        <v>135</v>
      </c>
      <c r="N23" s="9" t="s">
        <v>144</v>
      </c>
    </row>
    <row r="24" spans="1:14">
      <c r="A24" t="s">
        <v>6</v>
      </c>
      <c r="B24">
        <f>COUNTIFS([1]RAW_DATA!$F:$F,"Mumbai",[1]RAW_DATA!$D:$D,"Data Analyst")</f>
        <v>5</v>
      </c>
      <c r="C24">
        <f>COUNTIFS([1]RAW_DATA!$F:$F,"Mumbai",[1]RAW_DATA!$D:$D,"Business Analyst")</f>
        <v>5</v>
      </c>
      <c r="D24">
        <f>COUNTIFS([1]RAW_DATA!$F:$F,"Mumbai",[1]RAW_DATA!$D:$D,"Data Engineer")</f>
        <v>5</v>
      </c>
      <c r="E24">
        <f>COUNTIFS([1]RAW_DATA!$F:$F,"Mumbai",[1]RAW_DATA!$D:$D,"BI Developer")</f>
        <v>1</v>
      </c>
      <c r="F24">
        <f>COUNTIFS([1]RAW_DATA!$F:$F,"Mumbai",[1]RAW_DATA!$D:$D,"MIS Analyst")</f>
        <v>3</v>
      </c>
      <c r="J24" t="s">
        <v>16</v>
      </c>
      <c r="K24" s="8" t="s">
        <v>134</v>
      </c>
      <c r="L24" s="8" t="s">
        <v>136</v>
      </c>
      <c r="M24" s="9" t="s">
        <v>137</v>
      </c>
      <c r="N24" s="9" t="s">
        <v>145</v>
      </c>
    </row>
    <row r="25" spans="1:14">
      <c r="A25" t="s">
        <v>16</v>
      </c>
      <c r="B25">
        <f>COUNTIFS([1]RAW_DATA!$F:$F,"Chennai",[1]RAW_DATA!$D:$D,"Data Analyst")</f>
        <v>3</v>
      </c>
      <c r="C25">
        <f>COUNTIFS([1]RAW_DATA!$F:$F,"Chennai",[1]RAW_DATA!$D:$D,"Business Analyst")</f>
        <v>7</v>
      </c>
      <c r="D25">
        <f>COUNTIFS([1]RAW_DATA!$F:$F,"Chennai",[1]RAW_DATA!$D:$D,"Data Engineer")</f>
        <v>5</v>
      </c>
      <c r="E25">
        <f>COUNTIFS([1]RAW_DATA!$F:$F,"Chennai",[1]RAW_DATA!$D:$D,"BI Developer")</f>
        <v>0</v>
      </c>
      <c r="F25">
        <f>COUNTIFS([1]RAW_DATA!$F:$F,"Chennai",[1]RAW_DATA!$D:$D,"MIS Analyst")</f>
        <v>1</v>
      </c>
      <c r="J25" t="s">
        <v>111</v>
      </c>
      <c r="K25" s="8" t="s">
        <v>138</v>
      </c>
      <c r="L25" s="8" t="s">
        <v>139</v>
      </c>
      <c r="M25" s="9" t="s">
        <v>146</v>
      </c>
      <c r="N25" s="9" t="s">
        <v>147</v>
      </c>
    </row>
    <row r="29" spans="1:14">
      <c r="A29" s="16" t="s">
        <v>148</v>
      </c>
      <c r="B29" s="16"/>
      <c r="C29" s="16"/>
      <c r="D29" s="16"/>
      <c r="E29" s="16"/>
      <c r="F29" s="16"/>
      <c r="G29" s="16"/>
      <c r="H29" s="16"/>
      <c r="I29" s="16"/>
      <c r="K29" s="26" t="s">
        <v>155</v>
      </c>
      <c r="L29" s="26"/>
      <c r="M29" s="26"/>
      <c r="N29" s="26"/>
    </row>
    <row r="30" spans="1:14">
      <c r="A30" s="1" t="s">
        <v>149</v>
      </c>
      <c r="B30" s="1" t="s">
        <v>98</v>
      </c>
      <c r="C30" s="1" t="s">
        <v>108</v>
      </c>
      <c r="D30" s="1" t="s">
        <v>3</v>
      </c>
      <c r="E30" s="1" t="s">
        <v>111</v>
      </c>
      <c r="F30" s="1" t="s">
        <v>5</v>
      </c>
      <c r="G30" s="1" t="s">
        <v>13</v>
      </c>
      <c r="H30" s="1" t="s">
        <v>6</v>
      </c>
      <c r="I30" s="1" t="s">
        <v>16</v>
      </c>
      <c r="K30" s="10" t="s">
        <v>157</v>
      </c>
      <c r="L30" s="10" t="s">
        <v>156</v>
      </c>
    </row>
    <row r="31" spans="1:14">
      <c r="A31" t="s">
        <v>11</v>
      </c>
      <c r="B31">
        <f>COUNTIF([1]RAW_DATA!$M:$M,"On-site")</f>
        <v>202</v>
      </c>
      <c r="C31" s="9">
        <f>B31/230</f>
        <v>0.87826086956521743</v>
      </c>
      <c r="D31">
        <f>COUNTIFS([1]RAW_DATA!$M:$M,"On-site", [1]RAW_DATA!$F:$F,"Bengaluru")</f>
        <v>69</v>
      </c>
      <c r="E31">
        <f>COUNTIFS([1]RAW_DATA!$M:$M,"On-site",
          [1]RAW_DATA!$F:$F,"Delhi")
+COUNTIFS([1]RAW_DATA!$M:$M,"On-site",
          [1]RAW_DATA!$F:$F,"Gurgaon")
+COUNTIFS([1]RAW_DATA!$M:$M,"On-site",
          [1]RAW_DATA!$F:$F,"Noida")</f>
        <v>54</v>
      </c>
      <c r="F31">
        <f>COUNTIFS([1]RAW_DATA!$M:$M,"On-site", [1]RAW_DATA!$F:$F,"Hyderabad")</f>
        <v>25</v>
      </c>
      <c r="G31">
        <f>COUNTIFS([1]RAW_DATA!$M:$M,"On-site",
          [1]RAW_DATA!$F:$F,"Pune")</f>
        <v>24</v>
      </c>
      <c r="H31">
        <f>COUNTIFS([1]RAW_DATA!$M:$M,"On-site",
          [1]RAW_DATA!$F:$F,"Mumbai")</f>
        <v>17</v>
      </c>
      <c r="I31">
        <f>COUNTIFS([1]RAW_DATA!$M:$M,"On-site", [1]RAW_DATA!$F:$F,"Chennai")</f>
        <v>13</v>
      </c>
      <c r="K31" s="8" t="s">
        <v>2</v>
      </c>
      <c r="L31" s="9">
        <f>60/230</f>
        <v>0.2608695652173913</v>
      </c>
    </row>
    <row r="32" spans="1:14">
      <c r="A32" t="s">
        <v>20</v>
      </c>
      <c r="B32">
        <f>COUNTIF([1]RAW_DATA!$M:$M,"Remote")</f>
        <v>12</v>
      </c>
      <c r="C32" s="9">
        <f t="shared" ref="C32:C34" si="0">B32/230</f>
        <v>5.2173913043478258E-2</v>
      </c>
      <c r="D32">
        <f>COUNTIFS([1]RAW_DATA!$M:$M,"Remote",
          [1]RAW_DATA!$F:$F,"Bengaluru")</f>
        <v>2</v>
      </c>
      <c r="E32">
        <f>COUNTIFS([1]RAW_DATA!$M:$M,"Remote",
          [1]RAW_DATA!$F:$F,"Delhi")
+COUNTIFS([1]RAW_DATA!$M:$M,"Remote",
          [1]RAW_DATA!$F:$F,"Gurgaon")
+COUNTIFS([1]RAW_DATA!$M:$M,"Remote",
          [1]RAW_DATA!$F:$F,"Noida")</f>
        <v>1</v>
      </c>
      <c r="F32">
        <f>COUNTIFS([1]RAW_DATA!$M:$M,"Remote", [1]RAW_DATA!$F:$F,"Hyderabad")</f>
        <v>0</v>
      </c>
      <c r="G32">
        <f>COUNTIFS([1]RAW_DATA!$M:$M,"Remote",
          [1]RAW_DATA!$F:$F,"Pune")</f>
        <v>0</v>
      </c>
      <c r="H32">
        <f>COUNTIFS([1]RAW_DATA!$M:$M,"Remote",
          [1]RAW_DATA!$F:$F,"Mumbai")</f>
        <v>0</v>
      </c>
      <c r="I32">
        <f>COUNTIFS([1]RAW_DATA!$M:$M,"Remote",
          [1]RAW_DATA!$F:$F,"Chennai")</f>
        <v>0</v>
      </c>
      <c r="K32" s="8" t="s">
        <v>4</v>
      </c>
      <c r="L32" s="9">
        <f>58/230</f>
        <v>0.25217391304347825</v>
      </c>
    </row>
    <row r="33" spans="1:12">
      <c r="A33" t="s">
        <v>10</v>
      </c>
      <c r="B33">
        <f>COUNTIF([1]RAW_DATA!$M:$M,"Hybrid")</f>
        <v>11</v>
      </c>
      <c r="C33" s="9">
        <f t="shared" si="0"/>
        <v>4.7826086956521741E-2</v>
      </c>
      <c r="D33">
        <f>COUNTIFS([1]RAW_DATA!$M:$M,"Hybrid",
          [1]RAW_DATA!$F:$F,"Bengaluru")</f>
        <v>5</v>
      </c>
      <c r="E33">
        <f>COUNTIFS([1]RAW_DATA!$M:$M,"Hybrid",
          [1]RAW_DATA!$F:$F,"Delhi")
+COUNTIFS([1]RAW_DATA!$M:$M,"Hybrid",
          [1]RAW_DATA!$F:$F,"Gurgaon")
+COUNTIFS([1]RAW_DATA!$M:$M,"Hybrid",
          [1]RAW_DATA!$F:$F,"Noida")</f>
        <v>0</v>
      </c>
      <c r="F33">
        <f>COUNTIFS([1]RAW_DATA!$M:$M,"Hybrid", [1]RAW_DATA!$F:$F,"Hyderabad")</f>
        <v>2</v>
      </c>
      <c r="G33">
        <f>COUNTIFS([1]RAW_DATA!$M:$M,"Hybrid",
          [1]RAW_DATA!$F:$F,"Pune")</f>
        <v>0</v>
      </c>
      <c r="H33">
        <f>COUNTIFS([1]RAW_DATA!$M:$M,"Hybrid",
          [1]RAW_DATA!$F:$F,"Mumbai")</f>
        <v>1</v>
      </c>
      <c r="I33">
        <f>COUNTIFS([1]RAW_DATA!$M:$M,"Hybrid",
          [1]RAW_DATA!$F:$F,"Chennai")</f>
        <v>3</v>
      </c>
      <c r="K33" s="8" t="s">
        <v>8</v>
      </c>
      <c r="L33" s="9">
        <f>58/230</f>
        <v>0.25217391304347825</v>
      </c>
    </row>
    <row r="34" spans="1:12">
      <c r="A34" t="s">
        <v>69</v>
      </c>
      <c r="B34">
        <f>COUNTIF([1]RAW_DATA!$M:$M,"ND")</f>
        <v>4</v>
      </c>
      <c r="C34" s="9">
        <f t="shared" si="0"/>
        <v>1.7391304347826087E-2</v>
      </c>
      <c r="D34">
        <f>COUNTIFS([1]RAW_DATA!$M:$M,"ND",
          [1]RAW_DATA!$F:$F,"Bengaluru")</f>
        <v>2</v>
      </c>
      <c r="E34">
        <f>COUNTIFS([1]RAW_DATA!$M:$M,"ND",
          [1]RAW_DATA!$F:$F,"Delhi")
+COUNTIFS([1]RAW_DATA!$M:$M,"ND",
          [1]RAW_DATA!$F:$F,"Gurgaon")
+COUNTIFS([1]RAW_DATA!$M:$M,"ND",
          [1]RAW_DATA!$F:$F,"Noida")</f>
        <v>0</v>
      </c>
      <c r="F34">
        <f>COUNTIFS([1]RAW_DATA!$M:$M,"ND", [1]RAW_DATA!$F:$F,"Hyderabad")</f>
        <v>1</v>
      </c>
      <c r="G34">
        <f>COUNTIFS([1]RAW_DATA!$M:$M,"ND",
          [1]RAW_DATA!$F:$F,"Pune")</f>
        <v>0</v>
      </c>
      <c r="H34">
        <f>COUNTIFS([1]RAW_DATA!$M:$M,"ND",
          [1]RAW_DATA!$F:$F,"Mumbai")</f>
        <v>1</v>
      </c>
      <c r="I34">
        <f>COUNTIFS([1]RAW_DATA!$M:$M,"ND",
          [1]RAW_DATA!$F:$F,"Chennai")</f>
        <v>0</v>
      </c>
      <c r="K34" s="8" t="s">
        <v>9</v>
      </c>
      <c r="L34" s="9">
        <v>9.5652173913043481E-2</v>
      </c>
    </row>
    <row r="35" spans="1:12">
      <c r="K35" s="8" t="s">
        <v>7</v>
      </c>
      <c r="L35" s="9">
        <f>22/230</f>
        <v>9.5652173913043481E-2</v>
      </c>
    </row>
  </sheetData>
  <mergeCells count="7">
    <mergeCell ref="A29:I29"/>
    <mergeCell ref="A1:N2"/>
    <mergeCell ref="A5:F5"/>
    <mergeCell ref="A18:F18"/>
    <mergeCell ref="J5:N5"/>
    <mergeCell ref="J18:N18"/>
    <mergeCell ref="K29:N29"/>
  </mergeCells>
  <conditionalFormatting sqref="A18:F25">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
  <sheetViews>
    <sheetView showGridLines="0" zoomScale="98" zoomScaleNormal="98" workbookViewId="0">
      <selection activeCell="J18" sqref="J18"/>
    </sheetView>
  </sheetViews>
  <sheetFormatPr defaultRowHeight="13.8"/>
  <cols>
    <col min="4" max="4" width="9.59765625" customWidth="1"/>
    <col min="5" max="5" width="10.8984375" customWidth="1"/>
    <col min="6" max="6" width="9.796875" customWidth="1"/>
    <col min="7" max="7" width="13.796875" customWidth="1"/>
    <col min="8" max="8" width="13.296875" customWidth="1"/>
    <col min="15" max="15" width="11.09765625" customWidth="1"/>
    <col min="17" max="17" width="11.3984375" customWidth="1"/>
    <col min="18" max="18" width="10.296875" customWidth="1"/>
    <col min="19" max="19" width="13.796875" customWidth="1"/>
  </cols>
  <sheetData>
    <row r="1" spans="1:21" ht="24.6">
      <c r="A1" s="43" t="s">
        <v>151</v>
      </c>
      <c r="B1" s="43"/>
      <c r="C1" s="43"/>
      <c r="D1" s="43"/>
      <c r="E1" s="43"/>
      <c r="F1" s="43"/>
      <c r="G1" s="43"/>
      <c r="H1" s="43"/>
      <c r="I1" s="43"/>
      <c r="J1" s="43"/>
      <c r="K1" s="43"/>
      <c r="L1" s="43"/>
      <c r="M1" s="43"/>
      <c r="N1" s="43"/>
      <c r="O1" s="43"/>
      <c r="P1" s="43"/>
      <c r="Q1" s="43"/>
      <c r="R1" s="43"/>
      <c r="S1" s="43"/>
    </row>
    <row r="2" spans="1:21" ht="15">
      <c r="A2" s="44" t="s">
        <v>152</v>
      </c>
      <c r="B2" s="44"/>
      <c r="C2" s="44"/>
      <c r="D2" s="44"/>
      <c r="E2" s="44"/>
      <c r="F2" s="44"/>
      <c r="G2" s="44"/>
      <c r="H2" s="44"/>
      <c r="I2" s="44"/>
      <c r="J2" s="44"/>
      <c r="K2" s="44"/>
      <c r="L2" s="44"/>
      <c r="M2" s="44"/>
      <c r="N2" s="44"/>
      <c r="O2" s="44"/>
      <c r="P2" s="44"/>
      <c r="Q2" s="44"/>
      <c r="R2" s="44"/>
      <c r="S2" s="44"/>
    </row>
    <row r="3" spans="1:21">
      <c r="A3" s="45" t="s">
        <v>162</v>
      </c>
      <c r="B3" s="45"/>
      <c r="C3" s="45"/>
      <c r="D3" s="45"/>
      <c r="E3" s="45"/>
      <c r="F3" s="45"/>
      <c r="G3" s="45"/>
      <c r="H3" s="45"/>
      <c r="I3" s="45"/>
      <c r="J3" s="45"/>
      <c r="K3" s="45"/>
      <c r="L3" s="45"/>
      <c r="M3" s="45"/>
      <c r="N3" s="45"/>
      <c r="O3" s="45"/>
      <c r="P3" s="45"/>
      <c r="Q3" s="45"/>
      <c r="R3" s="45"/>
      <c r="S3" s="45"/>
    </row>
    <row r="4" spans="1:21">
      <c r="A4" s="35"/>
      <c r="B4" s="35"/>
      <c r="C4" s="35"/>
      <c r="D4" s="35"/>
      <c r="E4" s="35"/>
      <c r="F4" s="35"/>
      <c r="G4" s="35"/>
      <c r="H4" s="35"/>
      <c r="I4" s="35"/>
      <c r="J4" s="35"/>
      <c r="K4" s="35"/>
      <c r="L4" s="35"/>
      <c r="M4" s="35"/>
      <c r="N4" s="35"/>
      <c r="O4" s="35"/>
      <c r="P4" s="35"/>
      <c r="Q4" s="35"/>
      <c r="R4" s="35"/>
      <c r="S4" s="35"/>
    </row>
    <row r="5" spans="1:21" ht="17.399999999999999">
      <c r="A5" s="46" t="s">
        <v>153</v>
      </c>
      <c r="B5" s="46"/>
      <c r="C5" s="46"/>
      <c r="D5" s="46"/>
      <c r="E5" s="46"/>
      <c r="F5" s="46"/>
      <c r="G5" s="46"/>
      <c r="H5" s="46"/>
      <c r="I5" s="46"/>
      <c r="J5" s="46"/>
      <c r="K5" s="46"/>
      <c r="L5" s="46"/>
      <c r="M5" s="46"/>
      <c r="N5" s="46"/>
      <c r="O5" s="46"/>
      <c r="P5" s="46"/>
      <c r="Q5" s="46"/>
      <c r="R5" s="46"/>
      <c r="S5" s="46"/>
    </row>
    <row r="6" spans="1:21">
      <c r="A6" s="37" t="s">
        <v>167</v>
      </c>
      <c r="B6" s="38"/>
      <c r="C6" s="38"/>
      <c r="D6" s="38"/>
      <c r="E6" s="38"/>
      <c r="F6" s="38"/>
      <c r="G6" s="38"/>
      <c r="H6" s="38"/>
      <c r="I6" s="38"/>
      <c r="J6" s="38"/>
      <c r="K6" s="38"/>
      <c r="L6" s="38"/>
      <c r="M6" s="38"/>
      <c r="N6" s="38"/>
      <c r="O6" s="38"/>
      <c r="P6" s="38"/>
      <c r="Q6" s="38"/>
      <c r="R6" s="38"/>
      <c r="S6" s="38"/>
    </row>
    <row r="7" spans="1:21">
      <c r="A7" s="38"/>
      <c r="B7" s="38"/>
      <c r="C7" s="38"/>
      <c r="D7" s="38"/>
      <c r="E7" s="38"/>
      <c r="F7" s="38"/>
      <c r="G7" s="38"/>
      <c r="H7" s="38"/>
      <c r="I7" s="38"/>
      <c r="J7" s="38"/>
      <c r="K7" s="38"/>
      <c r="L7" s="38"/>
      <c r="M7" s="38"/>
      <c r="N7" s="38"/>
      <c r="O7" s="38"/>
      <c r="P7" s="38"/>
      <c r="Q7" s="38"/>
      <c r="R7" s="38"/>
      <c r="S7" s="38"/>
    </row>
    <row r="8" spans="1:21">
      <c r="A8" s="38"/>
      <c r="B8" s="38"/>
      <c r="C8" s="38"/>
      <c r="D8" s="38"/>
      <c r="E8" s="38"/>
      <c r="F8" s="38"/>
      <c r="G8" s="38"/>
      <c r="H8" s="38"/>
      <c r="I8" s="38"/>
      <c r="J8" s="38"/>
      <c r="K8" s="38"/>
      <c r="L8" s="38"/>
      <c r="M8" s="38"/>
      <c r="N8" s="38"/>
      <c r="O8" s="38"/>
      <c r="P8" s="38"/>
      <c r="Q8" s="38"/>
      <c r="R8" s="38"/>
      <c r="S8" s="38"/>
    </row>
    <row r="9" spans="1:21">
      <c r="A9" s="38"/>
      <c r="B9" s="38"/>
      <c r="C9" s="38"/>
      <c r="D9" s="38"/>
      <c r="E9" s="38"/>
      <c r="F9" s="38"/>
      <c r="G9" s="38"/>
      <c r="H9" s="38"/>
      <c r="I9" s="38"/>
      <c r="J9" s="38"/>
      <c r="K9" s="38"/>
      <c r="L9" s="38"/>
      <c r="M9" s="38"/>
      <c r="N9" s="38"/>
      <c r="O9" s="38"/>
      <c r="P9" s="38"/>
      <c r="Q9" s="38"/>
      <c r="R9" s="38"/>
      <c r="S9" s="38"/>
    </row>
    <row r="10" spans="1:21">
      <c r="A10" s="38"/>
      <c r="B10" s="38"/>
      <c r="C10" s="38"/>
      <c r="D10" s="38"/>
      <c r="E10" s="38"/>
      <c r="F10" s="38"/>
      <c r="G10" s="38"/>
      <c r="H10" s="38"/>
      <c r="I10" s="38"/>
      <c r="J10" s="38"/>
      <c r="K10" s="38"/>
      <c r="L10" s="38"/>
      <c r="M10" s="38"/>
      <c r="N10" s="38"/>
      <c r="O10" s="38"/>
      <c r="P10" s="38"/>
      <c r="Q10" s="38"/>
      <c r="R10" s="38"/>
      <c r="S10" s="38"/>
    </row>
    <row r="11" spans="1:21">
      <c r="A11" s="35"/>
      <c r="B11" s="35"/>
      <c r="C11" s="35"/>
      <c r="D11" s="35"/>
      <c r="E11" s="35"/>
      <c r="F11" s="35"/>
      <c r="G11" s="35"/>
      <c r="H11" s="35"/>
      <c r="I11" s="35"/>
      <c r="J11" s="35"/>
      <c r="K11" s="35"/>
      <c r="L11" s="35"/>
      <c r="M11" s="35"/>
      <c r="N11" s="35"/>
      <c r="O11" s="35"/>
      <c r="P11" s="35"/>
      <c r="Q11" s="35"/>
      <c r="R11" s="35"/>
      <c r="S11" s="35"/>
    </row>
    <row r="12" spans="1:21" ht="17.399999999999999">
      <c r="A12" s="39" t="s">
        <v>154</v>
      </c>
      <c r="B12" s="39"/>
      <c r="C12" s="39"/>
      <c r="D12" s="39"/>
      <c r="E12" s="39"/>
      <c r="F12" s="39"/>
      <c r="G12" s="39"/>
      <c r="H12" s="39"/>
      <c r="I12" s="39"/>
      <c r="J12" s="39"/>
      <c r="K12" s="39"/>
      <c r="L12" s="39"/>
      <c r="M12" s="39"/>
      <c r="N12" s="39"/>
      <c r="O12" s="39"/>
      <c r="P12" s="39"/>
      <c r="Q12" s="39"/>
      <c r="R12" s="39"/>
      <c r="S12" s="39"/>
      <c r="U12" s="6"/>
    </row>
    <row r="13" spans="1:21" ht="17.399999999999999">
      <c r="A13" s="12"/>
      <c r="B13" s="12"/>
      <c r="C13" s="12"/>
      <c r="D13" s="12"/>
      <c r="E13" s="12"/>
      <c r="F13" s="12"/>
      <c r="G13" s="12"/>
      <c r="H13" s="12"/>
      <c r="I13" s="12"/>
      <c r="J13" s="12"/>
      <c r="K13" s="12"/>
      <c r="L13" s="12"/>
      <c r="M13" s="12"/>
      <c r="N13" s="12"/>
      <c r="O13" s="12"/>
      <c r="P13" s="12"/>
      <c r="Q13" s="12"/>
      <c r="R13" s="12"/>
      <c r="S13" s="12"/>
    </row>
    <row r="14" spans="1:21" ht="15">
      <c r="A14" s="40" t="s">
        <v>163</v>
      </c>
      <c r="B14" s="40"/>
      <c r="C14" s="40"/>
      <c r="D14" s="40"/>
      <c r="E14" s="40"/>
      <c r="F14" s="40"/>
      <c r="G14" s="40"/>
      <c r="H14" s="40"/>
      <c r="L14" s="41" t="s">
        <v>158</v>
      </c>
      <c r="M14" s="42"/>
      <c r="N14" s="42"/>
      <c r="O14" s="42"/>
      <c r="P14" s="42"/>
      <c r="Q14" s="42"/>
      <c r="R14" s="42"/>
      <c r="S14" s="42"/>
    </row>
    <row r="15" spans="1:21">
      <c r="A15" s="29" t="s">
        <v>170</v>
      </c>
      <c r="B15" s="29"/>
      <c r="C15" s="29"/>
      <c r="D15" s="29"/>
      <c r="E15" s="29"/>
      <c r="F15" s="29"/>
      <c r="G15" s="29"/>
      <c r="H15" s="29"/>
      <c r="L15" s="29" t="s">
        <v>169</v>
      </c>
      <c r="M15" s="30"/>
      <c r="N15" s="30"/>
      <c r="O15" s="30"/>
      <c r="P15" s="30"/>
      <c r="Q15" s="30"/>
      <c r="R15" s="30"/>
      <c r="S15" s="30"/>
    </row>
    <row r="16" spans="1:21">
      <c r="A16" s="29"/>
      <c r="B16" s="29"/>
      <c r="C16" s="29"/>
      <c r="D16" s="29"/>
      <c r="E16" s="29"/>
      <c r="F16" s="29"/>
      <c r="G16" s="29"/>
      <c r="H16" s="29"/>
      <c r="L16" s="30"/>
      <c r="M16" s="30"/>
      <c r="N16" s="30"/>
      <c r="O16" s="30"/>
      <c r="P16" s="30"/>
      <c r="Q16" s="30"/>
      <c r="R16" s="30"/>
      <c r="S16" s="30"/>
    </row>
    <row r="17" spans="1:19">
      <c r="A17" s="29"/>
      <c r="B17" s="29"/>
      <c r="C17" s="29"/>
      <c r="D17" s="29"/>
      <c r="E17" s="29"/>
      <c r="F17" s="29"/>
      <c r="G17" s="29"/>
      <c r="H17" s="29"/>
      <c r="L17" s="30"/>
      <c r="M17" s="30"/>
      <c r="N17" s="30"/>
      <c r="O17" s="30"/>
      <c r="P17" s="30"/>
      <c r="Q17" s="30"/>
      <c r="R17" s="30"/>
      <c r="S17" s="30"/>
    </row>
    <row r="18" spans="1:19">
      <c r="A18" s="29"/>
      <c r="B18" s="29"/>
      <c r="C18" s="29"/>
      <c r="D18" s="29"/>
      <c r="E18" s="29"/>
      <c r="F18" s="29"/>
      <c r="G18" s="29"/>
      <c r="H18" s="29"/>
      <c r="L18" s="30"/>
      <c r="M18" s="30"/>
      <c r="N18" s="30"/>
      <c r="O18" s="30"/>
      <c r="P18" s="30"/>
      <c r="Q18" s="30"/>
      <c r="R18" s="30"/>
      <c r="S18" s="30"/>
    </row>
    <row r="19" spans="1:19">
      <c r="A19" s="29"/>
      <c r="B19" s="29"/>
      <c r="C19" s="29"/>
      <c r="D19" s="29"/>
      <c r="E19" s="29"/>
      <c r="F19" s="29"/>
      <c r="G19" s="29"/>
      <c r="H19" s="29"/>
      <c r="L19" s="30"/>
      <c r="M19" s="30"/>
      <c r="N19" s="30"/>
      <c r="O19" s="30"/>
      <c r="P19" s="30"/>
      <c r="Q19" s="30"/>
      <c r="R19" s="30"/>
      <c r="S19" s="30"/>
    </row>
    <row r="20" spans="1:19">
      <c r="A20" s="29"/>
      <c r="B20" s="29"/>
      <c r="C20" s="29"/>
      <c r="D20" s="29"/>
      <c r="E20" s="29"/>
      <c r="F20" s="29"/>
      <c r="G20" s="29"/>
      <c r="H20" s="29"/>
    </row>
    <row r="23" spans="1:19" ht="15">
      <c r="A23" s="32" t="s">
        <v>159</v>
      </c>
      <c r="B23" s="32"/>
      <c r="C23" s="32"/>
      <c r="D23" s="32"/>
      <c r="E23" s="32"/>
      <c r="F23" s="32"/>
      <c r="G23" s="32"/>
      <c r="H23" s="32"/>
      <c r="L23" s="31" t="s">
        <v>164</v>
      </c>
      <c r="M23" s="31"/>
      <c r="N23" s="31"/>
      <c r="O23" s="31"/>
      <c r="P23" s="31"/>
      <c r="Q23" s="31"/>
      <c r="R23" s="31"/>
      <c r="S23" s="31"/>
    </row>
    <row r="24" spans="1:19">
      <c r="A24" s="29" t="s">
        <v>171</v>
      </c>
      <c r="B24" s="30"/>
      <c r="C24" s="30"/>
      <c r="D24" s="30"/>
      <c r="E24" s="30"/>
      <c r="F24" s="30"/>
      <c r="G24" s="30"/>
      <c r="H24" s="30"/>
      <c r="L24" s="29" t="s">
        <v>172</v>
      </c>
      <c r="M24" s="30"/>
      <c r="N24" s="30"/>
      <c r="O24" s="30"/>
      <c r="P24" s="30"/>
      <c r="Q24" s="30"/>
      <c r="R24" s="30"/>
      <c r="S24" s="30"/>
    </row>
    <row r="25" spans="1:19">
      <c r="A25" s="30"/>
      <c r="B25" s="30"/>
      <c r="C25" s="30"/>
      <c r="D25" s="30"/>
      <c r="E25" s="30"/>
      <c r="F25" s="30"/>
      <c r="G25" s="30"/>
      <c r="H25" s="30"/>
      <c r="L25" s="30"/>
      <c r="M25" s="30"/>
      <c r="N25" s="30"/>
      <c r="O25" s="30"/>
      <c r="P25" s="30"/>
      <c r="Q25" s="30"/>
      <c r="R25" s="30"/>
      <c r="S25" s="30"/>
    </row>
    <row r="26" spans="1:19">
      <c r="A26" s="30"/>
      <c r="B26" s="30"/>
      <c r="C26" s="30"/>
      <c r="D26" s="30"/>
      <c r="E26" s="30"/>
      <c r="F26" s="30"/>
      <c r="G26" s="30"/>
      <c r="H26" s="30"/>
      <c r="L26" s="30"/>
      <c r="M26" s="30"/>
      <c r="N26" s="30"/>
      <c r="O26" s="30"/>
      <c r="P26" s="30"/>
      <c r="Q26" s="30"/>
      <c r="R26" s="30"/>
      <c r="S26" s="30"/>
    </row>
    <row r="27" spans="1:19">
      <c r="A27" s="30"/>
      <c r="B27" s="30"/>
      <c r="C27" s="30"/>
      <c r="D27" s="30"/>
      <c r="E27" s="30"/>
      <c r="F27" s="30"/>
      <c r="G27" s="30"/>
      <c r="H27" s="30"/>
      <c r="L27" s="30"/>
      <c r="M27" s="30"/>
      <c r="N27" s="30"/>
      <c r="O27" s="30"/>
      <c r="P27" s="30"/>
      <c r="Q27" s="30"/>
      <c r="R27" s="30"/>
      <c r="S27" s="30"/>
    </row>
    <row r="28" spans="1:19">
      <c r="A28" s="30"/>
      <c r="B28" s="30"/>
      <c r="C28" s="30"/>
      <c r="D28" s="30"/>
      <c r="E28" s="30"/>
      <c r="F28" s="30"/>
      <c r="G28" s="30"/>
      <c r="H28" s="30"/>
      <c r="L28" s="30"/>
      <c r="M28" s="30"/>
      <c r="N28" s="30"/>
      <c r="O28" s="30"/>
      <c r="P28" s="30"/>
      <c r="Q28" s="30"/>
      <c r="R28" s="30"/>
      <c r="S28" s="30"/>
    </row>
    <row r="29" spans="1:19">
      <c r="A29" s="30"/>
      <c r="B29" s="30"/>
      <c r="C29" s="30"/>
      <c r="D29" s="30"/>
      <c r="E29" s="30"/>
      <c r="F29" s="30"/>
      <c r="G29" s="30"/>
      <c r="H29" s="30"/>
      <c r="L29" s="30"/>
      <c r="M29" s="30"/>
      <c r="N29" s="30"/>
      <c r="O29" s="30"/>
      <c r="P29" s="30"/>
      <c r="Q29" s="30"/>
      <c r="R29" s="30"/>
      <c r="S29" s="30"/>
    </row>
    <row r="30" spans="1:19">
      <c r="A30" s="30"/>
      <c r="B30" s="30"/>
      <c r="C30" s="30"/>
      <c r="D30" s="30"/>
      <c r="E30" s="30"/>
      <c r="F30" s="30"/>
      <c r="G30" s="30"/>
      <c r="H30" s="30"/>
      <c r="L30" s="30"/>
      <c r="M30" s="30"/>
      <c r="N30" s="30"/>
      <c r="O30" s="30"/>
      <c r="P30" s="30"/>
      <c r="Q30" s="30"/>
      <c r="R30" s="30"/>
      <c r="S30" s="30"/>
    </row>
    <row r="31" spans="1:19">
      <c r="A31" s="30"/>
      <c r="B31" s="30"/>
      <c r="C31" s="30"/>
      <c r="D31" s="30"/>
      <c r="E31" s="30"/>
      <c r="F31" s="30"/>
      <c r="G31" s="30"/>
      <c r="H31" s="30"/>
      <c r="L31" s="30"/>
      <c r="M31" s="30"/>
      <c r="N31" s="30"/>
      <c r="O31" s="30"/>
      <c r="P31" s="30"/>
      <c r="Q31" s="30"/>
      <c r="R31" s="30"/>
      <c r="S31" s="30"/>
    </row>
    <row r="32" spans="1:19">
      <c r="A32" s="30"/>
      <c r="B32" s="30"/>
      <c r="C32" s="30"/>
      <c r="D32" s="30"/>
      <c r="E32" s="30"/>
      <c r="F32" s="30"/>
      <c r="G32" s="30"/>
      <c r="H32" s="30"/>
      <c r="J32" s="13"/>
      <c r="L32" s="30"/>
      <c r="M32" s="30"/>
      <c r="N32" s="30"/>
      <c r="O32" s="30"/>
      <c r="P32" s="30"/>
      <c r="Q32" s="30"/>
      <c r="R32" s="30"/>
      <c r="S32" s="30"/>
    </row>
    <row r="33" spans="1:20">
      <c r="A33" s="30"/>
      <c r="B33" s="30"/>
      <c r="C33" s="30"/>
      <c r="D33" s="30"/>
      <c r="E33" s="30"/>
      <c r="F33" s="30"/>
      <c r="G33" s="30"/>
      <c r="H33" s="30"/>
      <c r="L33" s="30"/>
      <c r="M33" s="30"/>
      <c r="N33" s="30"/>
      <c r="O33" s="30"/>
      <c r="P33" s="30"/>
      <c r="Q33" s="30"/>
      <c r="R33" s="30"/>
      <c r="S33" s="30"/>
    </row>
    <row r="36" spans="1:20" ht="15">
      <c r="A36" s="27" t="s">
        <v>165</v>
      </c>
      <c r="B36" s="27"/>
      <c r="C36" s="27"/>
      <c r="D36" s="27"/>
      <c r="E36" s="27"/>
      <c r="F36" s="27"/>
      <c r="G36" s="27"/>
      <c r="H36" s="27"/>
      <c r="L36" s="28" t="s">
        <v>166</v>
      </c>
      <c r="M36" s="28"/>
      <c r="N36" s="28"/>
      <c r="O36" s="28"/>
      <c r="P36" s="28"/>
      <c r="Q36" s="28"/>
      <c r="R36" s="28"/>
      <c r="S36" s="28"/>
    </row>
    <row r="37" spans="1:20">
      <c r="A37" s="29" t="s">
        <v>174</v>
      </c>
      <c r="B37" s="30"/>
      <c r="C37" s="30"/>
      <c r="D37" s="30"/>
      <c r="E37" s="30"/>
      <c r="F37" s="30"/>
      <c r="G37" s="30"/>
      <c r="H37" s="30"/>
      <c r="L37" s="29" t="s">
        <v>173</v>
      </c>
      <c r="M37" s="30"/>
      <c r="N37" s="30"/>
      <c r="O37" s="30"/>
      <c r="P37" s="30"/>
      <c r="Q37" s="30"/>
      <c r="R37" s="30"/>
      <c r="S37" s="30"/>
    </row>
    <row r="38" spans="1:20">
      <c r="A38" s="30"/>
      <c r="B38" s="30"/>
      <c r="C38" s="30"/>
      <c r="D38" s="30"/>
      <c r="E38" s="30"/>
      <c r="F38" s="30"/>
      <c r="G38" s="30"/>
      <c r="H38" s="30"/>
      <c r="L38" s="30"/>
      <c r="M38" s="30"/>
      <c r="N38" s="30"/>
      <c r="O38" s="30"/>
      <c r="P38" s="30"/>
      <c r="Q38" s="30"/>
      <c r="R38" s="30"/>
      <c r="S38" s="30"/>
    </row>
    <row r="39" spans="1:20">
      <c r="A39" s="30"/>
      <c r="B39" s="30"/>
      <c r="C39" s="30"/>
      <c r="D39" s="30"/>
      <c r="E39" s="30"/>
      <c r="F39" s="30"/>
      <c r="G39" s="30"/>
      <c r="H39" s="30"/>
      <c r="L39" s="30"/>
      <c r="M39" s="30"/>
      <c r="N39" s="30"/>
      <c r="O39" s="30"/>
      <c r="P39" s="30"/>
      <c r="Q39" s="30"/>
      <c r="R39" s="30"/>
      <c r="S39" s="30"/>
    </row>
    <row r="40" spans="1:20">
      <c r="A40" s="30"/>
      <c r="B40" s="30"/>
      <c r="C40" s="30"/>
      <c r="D40" s="30"/>
      <c r="E40" s="30"/>
      <c r="F40" s="30"/>
      <c r="G40" s="30"/>
      <c r="H40" s="30"/>
      <c r="L40" s="30"/>
      <c r="M40" s="30"/>
      <c r="N40" s="30"/>
      <c r="O40" s="30"/>
      <c r="P40" s="30"/>
      <c r="Q40" s="30"/>
      <c r="R40" s="30"/>
      <c r="S40" s="30"/>
    </row>
    <row r="41" spans="1:20">
      <c r="A41" s="30"/>
      <c r="B41" s="30"/>
      <c r="C41" s="30"/>
      <c r="D41" s="30"/>
      <c r="E41" s="30"/>
      <c r="F41" s="30"/>
      <c r="G41" s="30"/>
      <c r="H41" s="30"/>
      <c r="L41" s="30"/>
      <c r="M41" s="30"/>
      <c r="N41" s="30"/>
      <c r="O41" s="30"/>
      <c r="P41" s="30"/>
      <c r="Q41" s="30"/>
      <c r="R41" s="30"/>
      <c r="S41" s="30"/>
    </row>
    <row r="42" spans="1:20">
      <c r="A42" s="30"/>
      <c r="B42" s="30"/>
      <c r="C42" s="30"/>
      <c r="D42" s="30"/>
      <c r="E42" s="30"/>
      <c r="F42" s="30"/>
      <c r="G42" s="30"/>
      <c r="H42" s="30"/>
      <c r="L42" s="30"/>
      <c r="M42" s="30"/>
      <c r="N42" s="30"/>
      <c r="O42" s="30"/>
      <c r="P42" s="30"/>
      <c r="Q42" s="30"/>
      <c r="R42" s="30"/>
      <c r="S42" s="30"/>
    </row>
    <row r="43" spans="1:20">
      <c r="A43" s="30"/>
      <c r="B43" s="30"/>
      <c r="C43" s="30"/>
      <c r="D43" s="30"/>
      <c r="E43" s="30"/>
      <c r="F43" s="30"/>
      <c r="G43" s="30"/>
      <c r="H43" s="30"/>
      <c r="L43" s="30"/>
      <c r="M43" s="30"/>
      <c r="N43" s="30"/>
      <c r="O43" s="30"/>
      <c r="P43" s="30"/>
      <c r="Q43" s="30"/>
      <c r="R43" s="30"/>
      <c r="S43" s="30"/>
    </row>
    <row r="44" spans="1:20">
      <c r="L44" s="30"/>
      <c r="M44" s="30"/>
      <c r="N44" s="30"/>
      <c r="O44" s="30"/>
      <c r="P44" s="30"/>
      <c r="Q44" s="30"/>
      <c r="R44" s="30"/>
      <c r="S44" s="30"/>
    </row>
    <row r="45" spans="1:20">
      <c r="T45" s="2"/>
    </row>
    <row r="47" spans="1:20" ht="17.399999999999999">
      <c r="A47" s="36" t="s">
        <v>160</v>
      </c>
      <c r="B47" s="36"/>
      <c r="C47" s="36"/>
      <c r="D47" s="36"/>
      <c r="E47" s="36"/>
      <c r="F47" s="36"/>
      <c r="G47" s="36"/>
      <c r="H47" s="36"/>
      <c r="I47" s="36"/>
      <c r="J47" s="36"/>
      <c r="K47" s="36"/>
      <c r="L47" s="36"/>
      <c r="M47" s="36"/>
      <c r="N47" s="36"/>
      <c r="O47" s="36"/>
      <c r="P47" s="36"/>
      <c r="Q47" s="36"/>
      <c r="R47" s="36"/>
      <c r="S47" s="36"/>
    </row>
    <row r="48" spans="1:20">
      <c r="A48" s="34" t="s">
        <v>175</v>
      </c>
      <c r="B48" s="35"/>
      <c r="C48" s="35"/>
      <c r="D48" s="35"/>
      <c r="E48" s="35"/>
      <c r="F48" s="35"/>
      <c r="G48" s="35"/>
      <c r="H48" s="35"/>
      <c r="I48" s="35"/>
      <c r="J48" s="35"/>
      <c r="K48" s="35"/>
      <c r="L48" s="35"/>
      <c r="M48" s="35"/>
      <c r="N48" s="35"/>
      <c r="O48" s="35"/>
      <c r="P48" s="35"/>
      <c r="Q48" s="35"/>
      <c r="R48" s="35"/>
      <c r="S48" s="35"/>
    </row>
    <row r="49" spans="1:19">
      <c r="A49" s="35"/>
      <c r="B49" s="35"/>
      <c r="C49" s="35"/>
      <c r="D49" s="35"/>
      <c r="E49" s="35"/>
      <c r="F49" s="35"/>
      <c r="G49" s="35"/>
      <c r="H49" s="35"/>
      <c r="I49" s="35"/>
      <c r="J49" s="35"/>
      <c r="K49" s="35"/>
      <c r="L49" s="35"/>
      <c r="M49" s="35"/>
      <c r="N49" s="35"/>
      <c r="O49" s="35"/>
      <c r="P49" s="35"/>
      <c r="Q49" s="35"/>
      <c r="R49" s="35"/>
      <c r="S49" s="35"/>
    </row>
    <row r="50" spans="1:19">
      <c r="A50" s="35"/>
      <c r="B50" s="35"/>
      <c r="C50" s="35"/>
      <c r="D50" s="35"/>
      <c r="E50" s="35"/>
      <c r="F50" s="35"/>
      <c r="G50" s="35"/>
      <c r="H50" s="35"/>
      <c r="I50" s="35"/>
      <c r="J50" s="35"/>
      <c r="K50" s="35"/>
      <c r="L50" s="35"/>
      <c r="M50" s="35"/>
      <c r="N50" s="35"/>
      <c r="O50" s="35"/>
      <c r="P50" s="35"/>
      <c r="Q50" s="35"/>
      <c r="R50" s="35"/>
      <c r="S50" s="35"/>
    </row>
    <row r="51" spans="1:19">
      <c r="A51" s="35"/>
      <c r="B51" s="35"/>
      <c r="C51" s="35"/>
      <c r="D51" s="35"/>
      <c r="E51" s="35"/>
      <c r="F51" s="35"/>
      <c r="G51" s="35"/>
      <c r="H51" s="35"/>
      <c r="I51" s="35"/>
      <c r="J51" s="35"/>
      <c r="K51" s="35"/>
      <c r="L51" s="35"/>
      <c r="M51" s="35"/>
      <c r="N51" s="35"/>
      <c r="O51" s="35"/>
      <c r="P51" s="35"/>
      <c r="Q51" s="35"/>
      <c r="R51" s="35"/>
      <c r="S51" s="35"/>
    </row>
    <row r="52" spans="1:19">
      <c r="A52" s="35"/>
      <c r="B52" s="35"/>
      <c r="C52" s="35"/>
      <c r="D52" s="35"/>
      <c r="E52" s="35"/>
      <c r="F52" s="35"/>
      <c r="G52" s="35"/>
      <c r="H52" s="35"/>
      <c r="I52" s="35"/>
      <c r="J52" s="35"/>
      <c r="K52" s="35"/>
      <c r="L52" s="35"/>
      <c r="M52" s="35"/>
      <c r="N52" s="35"/>
      <c r="O52" s="35"/>
      <c r="P52" s="35"/>
      <c r="Q52" s="35"/>
      <c r="R52" s="35"/>
      <c r="S52" s="35"/>
    </row>
    <row r="53" spans="1:19">
      <c r="A53" s="35"/>
      <c r="B53" s="35"/>
      <c r="C53" s="35"/>
      <c r="D53" s="35"/>
      <c r="E53" s="35"/>
      <c r="F53" s="35"/>
      <c r="G53" s="35"/>
      <c r="H53" s="35"/>
      <c r="I53" s="35"/>
      <c r="J53" s="35"/>
      <c r="K53" s="35"/>
      <c r="L53" s="35"/>
      <c r="M53" s="35"/>
      <c r="N53" s="35"/>
      <c r="O53" s="35"/>
      <c r="P53" s="35"/>
      <c r="Q53" s="35"/>
      <c r="R53" s="35"/>
      <c r="S53" s="35"/>
    </row>
    <row r="56" spans="1:19" ht="17.399999999999999">
      <c r="A56" s="33" t="s">
        <v>161</v>
      </c>
      <c r="B56" s="33"/>
      <c r="C56" s="33"/>
      <c r="D56" s="33"/>
      <c r="E56" s="33"/>
      <c r="F56" s="33"/>
      <c r="G56" s="33"/>
      <c r="H56" s="33"/>
      <c r="I56" s="33"/>
      <c r="J56" s="33"/>
      <c r="K56" s="33"/>
      <c r="L56" s="33"/>
      <c r="M56" s="33"/>
      <c r="N56" s="33"/>
      <c r="O56" s="33"/>
      <c r="P56" s="33"/>
      <c r="Q56" s="33"/>
      <c r="R56" s="33"/>
      <c r="S56" s="33"/>
    </row>
    <row r="57" spans="1:19">
      <c r="A57" s="29" t="s">
        <v>168</v>
      </c>
      <c r="B57" s="30"/>
      <c r="C57" s="30"/>
      <c r="D57" s="30"/>
      <c r="E57" s="30"/>
      <c r="F57" s="30"/>
      <c r="G57" s="30"/>
      <c r="H57" s="30"/>
      <c r="I57" s="30"/>
      <c r="J57" s="30"/>
      <c r="K57" s="30"/>
      <c r="L57" s="30"/>
      <c r="M57" s="30"/>
      <c r="N57" s="30"/>
      <c r="O57" s="30"/>
      <c r="P57" s="30"/>
      <c r="Q57" s="30"/>
      <c r="R57" s="30"/>
      <c r="S57" s="30"/>
    </row>
    <row r="58" spans="1:19">
      <c r="A58" s="30"/>
      <c r="B58" s="30"/>
      <c r="C58" s="30"/>
      <c r="D58" s="30"/>
      <c r="E58" s="30"/>
      <c r="F58" s="30"/>
      <c r="G58" s="30"/>
      <c r="H58" s="30"/>
      <c r="I58" s="30"/>
      <c r="J58" s="30"/>
      <c r="K58" s="30"/>
      <c r="L58" s="30"/>
      <c r="M58" s="30"/>
      <c r="N58" s="30"/>
      <c r="O58" s="30"/>
      <c r="P58" s="30"/>
      <c r="Q58" s="30"/>
      <c r="R58" s="30"/>
      <c r="S58" s="30"/>
    </row>
    <row r="59" spans="1:19">
      <c r="A59" s="30"/>
      <c r="B59" s="30"/>
      <c r="C59" s="30"/>
      <c r="D59" s="30"/>
      <c r="E59" s="30"/>
      <c r="F59" s="30"/>
      <c r="G59" s="30"/>
      <c r="H59" s="30"/>
      <c r="I59" s="30"/>
      <c r="J59" s="30"/>
      <c r="K59" s="30"/>
      <c r="L59" s="30"/>
      <c r="M59" s="30"/>
      <c r="N59" s="30"/>
      <c r="O59" s="30"/>
      <c r="P59" s="30"/>
      <c r="Q59" s="30"/>
      <c r="R59" s="30"/>
      <c r="S59" s="30"/>
    </row>
    <row r="60" spans="1:19">
      <c r="A60" s="30"/>
      <c r="B60" s="30"/>
      <c r="C60" s="30"/>
      <c r="D60" s="30"/>
      <c r="E60" s="30"/>
      <c r="F60" s="30"/>
      <c r="G60" s="30"/>
      <c r="H60" s="30"/>
      <c r="I60" s="30"/>
      <c r="J60" s="30"/>
      <c r="K60" s="30"/>
      <c r="L60" s="30"/>
      <c r="M60" s="30"/>
      <c r="N60" s="30"/>
      <c r="O60" s="30"/>
      <c r="P60" s="30"/>
      <c r="Q60" s="30"/>
      <c r="R60" s="30"/>
      <c r="S60" s="30"/>
    </row>
    <row r="61" spans="1:19">
      <c r="A61" s="30"/>
      <c r="B61" s="30"/>
      <c r="C61" s="30"/>
      <c r="D61" s="30"/>
      <c r="E61" s="30"/>
      <c r="F61" s="30"/>
      <c r="G61" s="30"/>
      <c r="H61" s="30"/>
      <c r="I61" s="30"/>
      <c r="J61" s="30"/>
      <c r="K61" s="30"/>
      <c r="L61" s="30"/>
      <c r="M61" s="30"/>
      <c r="N61" s="30"/>
      <c r="O61" s="30"/>
      <c r="P61" s="30"/>
      <c r="Q61" s="30"/>
      <c r="R61" s="30"/>
      <c r="S61" s="30"/>
    </row>
  </sheetData>
  <mergeCells count="24">
    <mergeCell ref="A1:S1"/>
    <mergeCell ref="A2:S2"/>
    <mergeCell ref="A3:S3"/>
    <mergeCell ref="A4:S4"/>
    <mergeCell ref="A5:S5"/>
    <mergeCell ref="A6:S10"/>
    <mergeCell ref="A12:S12"/>
    <mergeCell ref="A14:H14"/>
    <mergeCell ref="L14:S14"/>
    <mergeCell ref="L15:S19"/>
    <mergeCell ref="A15:H20"/>
    <mergeCell ref="A11:S11"/>
    <mergeCell ref="A57:S61"/>
    <mergeCell ref="A56:S56"/>
    <mergeCell ref="A48:S53"/>
    <mergeCell ref="A47:S47"/>
    <mergeCell ref="L37:S44"/>
    <mergeCell ref="A37:H43"/>
    <mergeCell ref="A36:H36"/>
    <mergeCell ref="L36:S36"/>
    <mergeCell ref="A24:H33"/>
    <mergeCell ref="L24:S33"/>
    <mergeCell ref="L23:S23"/>
    <mergeCell ref="A23:H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7"/>
  <sheetViews>
    <sheetView showGridLines="0" showRowColHeaders="0" zoomScale="98" zoomScaleNormal="98" workbookViewId="0">
      <selection activeCell="Z16" sqref="Z16"/>
    </sheetView>
  </sheetViews>
  <sheetFormatPr defaultRowHeight="13.8"/>
  <cols>
    <col min="21" max="24" width="0" hidden="1" customWidth="1"/>
  </cols>
  <sheetData>
    <row r="1" spans="1:23" ht="22.8">
      <c r="A1" s="49" t="s">
        <v>176</v>
      </c>
      <c r="B1" s="49"/>
      <c r="C1" s="49"/>
      <c r="D1" s="49"/>
      <c r="E1" s="49"/>
      <c r="F1" s="49"/>
      <c r="G1" s="49"/>
      <c r="H1" s="49"/>
      <c r="I1" s="49"/>
      <c r="J1" s="49"/>
      <c r="K1" s="49"/>
      <c r="L1" s="49"/>
      <c r="M1" s="49"/>
      <c r="N1" s="49"/>
      <c r="O1" s="49"/>
      <c r="P1" s="49"/>
      <c r="Q1" s="49"/>
      <c r="R1" s="49"/>
      <c r="S1" s="49"/>
      <c r="U1" t="s">
        <v>46</v>
      </c>
      <c r="V1" t="s">
        <v>182</v>
      </c>
    </row>
    <row r="2" spans="1:23" ht="15">
      <c r="A2" s="50" t="s">
        <v>177</v>
      </c>
      <c r="B2" s="50"/>
      <c r="C2" s="50"/>
      <c r="D2" s="50"/>
      <c r="E2" s="50"/>
      <c r="F2" s="50"/>
      <c r="G2" s="50"/>
      <c r="H2" s="50"/>
      <c r="I2" s="50"/>
      <c r="J2" s="50"/>
      <c r="K2" s="50"/>
      <c r="L2" s="50"/>
      <c r="M2" s="50"/>
      <c r="N2" s="50"/>
      <c r="O2" s="50"/>
      <c r="P2" s="50"/>
      <c r="Q2" s="50"/>
      <c r="R2" s="50"/>
      <c r="S2" s="50"/>
      <c r="U2" t="s">
        <v>25</v>
      </c>
      <c r="V2">
        <f>SUM([1]RAW_DATA!O:O)</f>
        <v>144</v>
      </c>
    </row>
    <row r="3" spans="1:23">
      <c r="U3" t="s">
        <v>21</v>
      </c>
      <c r="V3">
        <f>SUM([1]RAW_DATA!S:S)</f>
        <v>86</v>
      </c>
    </row>
    <row r="4" spans="1:23">
      <c r="U4" t="s">
        <v>19</v>
      </c>
      <c r="V4">
        <f>SUM([1]RAW_DATA!P:P)</f>
        <v>80</v>
      </c>
    </row>
    <row r="5" spans="1:23">
      <c r="C5" s="51">
        <f>COUNTA([1]RAW_DATA!A:A)-1</f>
        <v>230</v>
      </c>
      <c r="D5" s="51"/>
      <c r="G5" s="51">
        <f>COUNTIF([1]RAW_DATA!AZ:AZ,"Fulltime")</f>
        <v>205</v>
      </c>
      <c r="H5" s="51"/>
      <c r="K5" s="51" t="s">
        <v>25</v>
      </c>
      <c r="L5" s="51"/>
      <c r="O5" s="52">
        <v>7.2999999999999995E-2</v>
      </c>
      <c r="P5" s="51"/>
      <c r="U5" t="s">
        <v>26</v>
      </c>
      <c r="V5">
        <f>SUM([1]RAW_DATA!Q:Q)</f>
        <v>63</v>
      </c>
    </row>
    <row r="6" spans="1:23">
      <c r="C6" s="51"/>
      <c r="D6" s="51"/>
      <c r="G6" s="51"/>
      <c r="H6" s="51"/>
      <c r="K6" s="51"/>
      <c r="L6" s="51"/>
      <c r="O6" s="51"/>
      <c r="P6" s="51"/>
      <c r="U6" t="s">
        <v>36</v>
      </c>
      <c r="V6">
        <f>SUM([1]RAW_DATA!AC:AC)</f>
        <v>44</v>
      </c>
    </row>
    <row r="7" spans="1:23">
      <c r="C7" s="51"/>
      <c r="D7" s="51"/>
      <c r="G7" s="51"/>
      <c r="H7" s="51"/>
      <c r="K7" s="51"/>
      <c r="L7" s="51"/>
      <c r="O7" s="51"/>
      <c r="P7" s="51"/>
      <c r="U7" t="s">
        <v>15</v>
      </c>
      <c r="V7">
        <f>SUM([1]RAW_DATA!AA:AA)</f>
        <v>32</v>
      </c>
    </row>
    <row r="8" spans="1:23">
      <c r="C8" s="48" t="s">
        <v>178</v>
      </c>
      <c r="D8" s="48"/>
      <c r="G8" s="48" t="s">
        <v>179</v>
      </c>
      <c r="H8" s="48"/>
      <c r="K8" s="48" t="s">
        <v>180</v>
      </c>
      <c r="L8" s="48"/>
      <c r="O8" s="48" t="s">
        <v>181</v>
      </c>
      <c r="P8" s="48"/>
      <c r="U8" t="s">
        <v>27</v>
      </c>
      <c r="V8">
        <f>SUM([1]RAW_DATA!R:R)</f>
        <v>29</v>
      </c>
    </row>
    <row r="12" spans="1:23">
      <c r="U12" t="s">
        <v>183</v>
      </c>
      <c r="W12" t="s">
        <v>182</v>
      </c>
    </row>
    <row r="13" spans="1:23">
      <c r="U13" t="s">
        <v>2</v>
      </c>
      <c r="W13">
        <f>COUNTIF([1]RAW_DATA!$D:$D,"Data Analyst")</f>
        <v>65</v>
      </c>
    </row>
    <row r="14" spans="1:23">
      <c r="U14" t="s">
        <v>4</v>
      </c>
      <c r="W14">
        <f>COUNTIF([1]RAW_DATA!$D:$D,"Business Analyst")</f>
        <v>59</v>
      </c>
    </row>
    <row r="15" spans="1:23">
      <c r="U15" t="s">
        <v>8</v>
      </c>
      <c r="W15">
        <f>COUNTIF([1]RAW_DATA!$D:$D,"Data Engineer")</f>
        <v>60</v>
      </c>
    </row>
    <row r="16" spans="1:23">
      <c r="U16" t="s">
        <v>9</v>
      </c>
      <c r="W16">
        <f>COUNTIF([1]RAW_DATA!$D:$D,"BI Developer")</f>
        <v>22</v>
      </c>
    </row>
    <row r="17" spans="3:23">
      <c r="U17" t="s">
        <v>7</v>
      </c>
      <c r="W17">
        <f>COUNTIF([1]RAW_DATA!$D:$D,"MIS Analyst")</f>
        <v>23</v>
      </c>
    </row>
    <row r="20" spans="3:23">
      <c r="U20" t="s">
        <v>106</v>
      </c>
      <c r="V20" t="s">
        <v>184</v>
      </c>
    </row>
    <row r="21" spans="3:23">
      <c r="U21" t="s">
        <v>3</v>
      </c>
      <c r="V21">
        <f>COUNTIF([1]RAW_DATA!$F:$F,"Bengaluru")</f>
        <v>78</v>
      </c>
    </row>
    <row r="22" spans="3:23">
      <c r="U22" t="s">
        <v>111</v>
      </c>
      <c r="V22">
        <f>COUNTIF([1]RAW_DATA!$F:$F,"Delhi NCR")+COUNTIF([1]RAW_DATA!$F:$F,"Delhi")+COUNTIF([1]RAW_DATA!$F:$F,"Noida")+COUNTIF([1]RAW_DATA!$F:$F,"Gurgaon")</f>
        <v>56</v>
      </c>
    </row>
    <row r="23" spans="3:23">
      <c r="U23" t="s">
        <v>5</v>
      </c>
      <c r="V23">
        <f>COUNTIF([1]RAW_DATA!$F:$F,"Hyderabad")</f>
        <v>28</v>
      </c>
    </row>
    <row r="24" spans="3:23">
      <c r="U24" t="s">
        <v>13</v>
      </c>
      <c r="V24">
        <f>COUNTIF([1]RAW_DATA!$F:$F,"Pune")</f>
        <v>24</v>
      </c>
    </row>
    <row r="25" spans="3:23">
      <c r="U25" t="s">
        <v>6</v>
      </c>
      <c r="V25">
        <f>COUNTIF([1]RAW_DATA!$F:$F,"Mumbai")</f>
        <v>19</v>
      </c>
    </row>
    <row r="26" spans="3:23">
      <c r="U26" t="s">
        <v>16</v>
      </c>
      <c r="V26" s="14">
        <f>COUNTIF([1]RAW_DATA!$F:$F,"Chennai")</f>
        <v>16</v>
      </c>
    </row>
    <row r="27" spans="3:23">
      <c r="C27" s="47" t="s">
        <v>186</v>
      </c>
      <c r="D27" s="47"/>
      <c r="E27" s="47"/>
      <c r="F27" s="47"/>
      <c r="G27" s="47"/>
      <c r="H27" s="47"/>
      <c r="K27" s="47" t="s">
        <v>187</v>
      </c>
      <c r="L27" s="47"/>
      <c r="M27" s="47"/>
      <c r="N27" s="47"/>
      <c r="O27" s="47"/>
      <c r="P27" s="47"/>
    </row>
    <row r="29" spans="3:23">
      <c r="U29" t="s">
        <v>185</v>
      </c>
      <c r="V29" t="s">
        <v>182</v>
      </c>
    </row>
    <row r="30" spans="3:23">
      <c r="U30" t="s">
        <v>11</v>
      </c>
      <c r="V30">
        <f>COUNTIF([1]RAW_DATA!$M:$M,"On-site")</f>
        <v>202</v>
      </c>
    </row>
    <row r="31" spans="3:23">
      <c r="U31" t="s">
        <v>10</v>
      </c>
      <c r="V31">
        <f>COUNTIF([1]RAW_DATA!$M:$M,"Hybrid")</f>
        <v>11</v>
      </c>
    </row>
    <row r="32" spans="3:23">
      <c r="U32" t="s">
        <v>20</v>
      </c>
      <c r="V32">
        <f>COUNTIF([1]RAW_DATA!$M:$M,"Remote")</f>
        <v>12</v>
      </c>
    </row>
    <row r="45" spans="3:16">
      <c r="C45" s="47" t="s">
        <v>188</v>
      </c>
      <c r="D45" s="47"/>
      <c r="E45" s="47"/>
      <c r="F45" s="47"/>
      <c r="G45" s="47"/>
      <c r="H45" s="47"/>
      <c r="K45" s="47" t="s">
        <v>189</v>
      </c>
      <c r="L45" s="47"/>
      <c r="M45" s="47"/>
      <c r="N45" s="47"/>
      <c r="O45" s="47"/>
      <c r="P45" s="47"/>
    </row>
    <row r="57" spans="3:10">
      <c r="C57" s="47" t="s">
        <v>110</v>
      </c>
      <c r="D57" s="47"/>
      <c r="E57" s="47"/>
      <c r="F57" s="47"/>
      <c r="G57" s="47"/>
      <c r="H57" s="47"/>
      <c r="I57" s="47"/>
      <c r="J57" s="47"/>
    </row>
  </sheetData>
  <mergeCells count="15">
    <mergeCell ref="C8:D8"/>
    <mergeCell ref="G8:H8"/>
    <mergeCell ref="K8:L8"/>
    <mergeCell ref="O8:P8"/>
    <mergeCell ref="A1:S1"/>
    <mergeCell ref="A2:S2"/>
    <mergeCell ref="C5:D7"/>
    <mergeCell ref="G5:H7"/>
    <mergeCell ref="K5:L7"/>
    <mergeCell ref="O5:P7"/>
    <mergeCell ref="C57:J57"/>
    <mergeCell ref="C27:H27"/>
    <mergeCell ref="K27:P27"/>
    <mergeCell ref="C45:H45"/>
    <mergeCell ref="K45:P4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SKILL_MATRIX</vt:lpstr>
      <vt:lpstr>SALARY_INSIGHTS</vt:lpstr>
      <vt:lpstr>CITY_TRENDS</vt:lpstr>
      <vt:lpstr>INSIGHTS</vt:lpstr>
      <vt:lpstr>DASHBOARD</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Gurpreet Kaur</dc:creator>
  <cp:lastModifiedBy>Gurpreet Kaur</cp:lastModifiedBy>
  <dcterms:created xsi:type="dcterms:W3CDTF">2026-06-05T05:50:30Z</dcterms:created>
  <dcterms:modified xsi:type="dcterms:W3CDTF">2026-06-14T11:01:01Z</dcterms:modified>
</cp:coreProperties>
</file>